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ASEKH\K25075\AI_Agent 專案_水平衡圖檢核\"/>
    </mc:Choice>
  </mc:AlternateContent>
  <xr:revisionPtr revIDLastSave="0" documentId="13_ncr:1_{E3419FF0-7BA0-46CD-8968-4D7A20A47E0B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10" i="1" l="1"/>
  <c r="AG44" i="1"/>
  <c r="F44" i="1"/>
  <c r="W41" i="1"/>
  <c r="F40" i="1"/>
  <c r="Y39" i="1"/>
  <c r="AG41" i="1" s="1"/>
  <c r="AM37" i="1"/>
  <c r="AG36" i="1"/>
  <c r="AB35" i="1"/>
  <c r="F35" i="1"/>
  <c r="T35" i="1" s="1"/>
  <c r="AD34" i="1"/>
  <c r="F33" i="1"/>
  <c r="T33" i="1" s="1"/>
  <c r="AM30" i="1"/>
  <c r="Y30" i="1"/>
  <c r="AH32" i="1" s="1"/>
  <c r="F30" i="1"/>
  <c r="AG29" i="1"/>
  <c r="AB28" i="1"/>
  <c r="F27" i="1"/>
  <c r="T27" i="1" s="1"/>
  <c r="O26" i="1"/>
  <c r="O25" i="1"/>
  <c r="AJ24" i="1"/>
  <c r="O24" i="1"/>
  <c r="T30" i="1" s="1"/>
  <c r="O23" i="1"/>
  <c r="AM22" i="1"/>
  <c r="Q49" i="1" s="1"/>
  <c r="AA22" i="1"/>
  <c r="F21" i="1"/>
  <c r="Q20" i="1"/>
  <c r="AB13" i="1" s="1"/>
  <c r="AS18" i="1"/>
  <c r="AF17" i="1"/>
  <c r="W17" i="1"/>
  <c r="U15" i="1"/>
  <c r="U13" i="1" s="1"/>
  <c r="F15" i="1"/>
  <c r="AU14" i="1"/>
  <c r="AP14" i="1"/>
  <c r="AJ14" i="1"/>
  <c r="I13" i="1"/>
  <c r="AY11" i="1"/>
  <c r="AT11" i="1"/>
  <c r="K11" i="1"/>
  <c r="A11" i="1"/>
  <c r="I9" i="1"/>
  <c r="K4" i="1" s="1"/>
  <c r="AF8" i="1"/>
  <c r="X8" i="1"/>
  <c r="V8" i="1"/>
  <c r="AO6" i="1"/>
  <c r="AY5" i="1"/>
  <c r="AR4" i="1"/>
  <c r="Z4" i="1"/>
  <c r="X4" i="1"/>
  <c r="V4" i="1"/>
  <c r="R4" i="1"/>
  <c r="F4" i="1"/>
  <c r="A4" i="1"/>
</calcChain>
</file>

<file path=xl/sharedStrings.xml><?xml version="1.0" encoding="utf-8"?>
<sst xmlns="http://schemas.openxmlformats.org/spreadsheetml/2006/main" count="100" uniqueCount="82">
  <si>
    <t>第三方供水
自來水量(S3/I4)</t>
    <phoneticPr fontId="7" type="noConversion"/>
  </si>
  <si>
    <t>被支援RO to RO(S5'/I11')</t>
    <phoneticPr fontId="7" type="noConversion"/>
  </si>
  <si>
    <t>被支援自來水(S1'/I8')</t>
    <phoneticPr fontId="7" type="noConversion"/>
  </si>
  <si>
    <t>被支援RO(S2'/I9')</t>
    <phoneticPr fontId="7" type="noConversion"/>
  </si>
  <si>
    <t>支援RO to RO(S5/I11)</t>
    <phoneticPr fontId="7" type="noConversion"/>
  </si>
  <si>
    <t>支援RO(S2/I9)</t>
    <phoneticPr fontId="7" type="noConversion"/>
  </si>
  <si>
    <t>消耗(V4/W7)</t>
    <phoneticPr fontId="7" type="noConversion"/>
  </si>
  <si>
    <t>受託廢水量(D0/D'-2)</t>
    <phoneticPr fontId="10" type="noConversion"/>
  </si>
  <si>
    <t>(D2'-1/D-4)陸放量</t>
    <phoneticPr fontId="10" type="noConversion"/>
  </si>
  <si>
    <t>排放(d1/d7)</t>
    <phoneticPr fontId="10" type="noConversion"/>
  </si>
  <si>
    <t>民生用水</t>
    <phoneticPr fontId="7" type="noConversion"/>
  </si>
  <si>
    <t>淨-被支援量</t>
    <phoneticPr fontId="10" type="noConversion"/>
  </si>
  <si>
    <t>淨-支援量</t>
    <phoneticPr fontId="10" type="noConversion"/>
  </si>
  <si>
    <t>(P2/P2)</t>
    <phoneticPr fontId="7" type="noConversion"/>
  </si>
  <si>
    <t>總放流水排放量(D2/D)</t>
    <phoneticPr fontId="7" type="noConversion"/>
  </si>
  <si>
    <t>(w3/I1-3)</t>
    <phoneticPr fontId="7" type="noConversion"/>
  </si>
  <si>
    <t>(P1/P1)</t>
    <phoneticPr fontId="7" type="noConversion"/>
  </si>
  <si>
    <t>-</t>
    <phoneticPr fontId="10" type="noConversion"/>
  </si>
  <si>
    <t>(P3/P3)</t>
    <phoneticPr fontId="7" type="noConversion"/>
  </si>
  <si>
    <t>(D2'-2/D-5)納管量</t>
    <phoneticPr fontId="10" type="noConversion"/>
  </si>
  <si>
    <t>純水系統</t>
    <phoneticPr fontId="7" type="noConversion"/>
  </si>
  <si>
    <t>製程</t>
    <phoneticPr fontId="7" type="noConversion"/>
  </si>
  <si>
    <t>廢水
處理廠</t>
    <phoneticPr fontId="7" type="noConversion"/>
  </si>
  <si>
    <t>自來水(W/I1)</t>
    <phoneticPr fontId="7" type="noConversion"/>
  </si>
  <si>
    <t>(w1/I1-1)</t>
    <phoneticPr fontId="7" type="noConversion"/>
  </si>
  <si>
    <t>(d2/d2)</t>
    <phoneticPr fontId="7" type="noConversion"/>
  </si>
  <si>
    <t>(D1/D-3)</t>
    <phoneticPr fontId="7" type="noConversion"/>
  </si>
  <si>
    <t>(w2/I1-2)</t>
    <phoneticPr fontId="7" type="noConversion"/>
  </si>
  <si>
    <t>(c7/c2)</t>
    <phoneticPr fontId="7" type="noConversion"/>
  </si>
  <si>
    <t>(d3/d5)</t>
    <phoneticPr fontId="7" type="noConversion"/>
  </si>
  <si>
    <t>(r4/u6-3)</t>
    <phoneticPr fontId="7" type="noConversion"/>
  </si>
  <si>
    <t>排放至中水廠廢水量(I/D-1)</t>
    <phoneticPr fontId="7" type="noConversion"/>
  </si>
  <si>
    <t>支援自來水(S1/I8)</t>
    <phoneticPr fontId="7" type="noConversion"/>
  </si>
  <si>
    <t xml:space="preserve"> </t>
    <phoneticPr fontId="7" type="noConversion"/>
  </si>
  <si>
    <t>製程水處理回收利用(c1/c5)</t>
    <phoneticPr fontId="10" type="noConversion"/>
  </si>
  <si>
    <t>(R1-1/u6-1)</t>
    <phoneticPr fontId="7" type="noConversion"/>
  </si>
  <si>
    <t>製程水處理回收利用(c2/u5)</t>
    <phoneticPr fontId="7" type="noConversion"/>
  </si>
  <si>
    <t>D4水肥/
污泥含水量</t>
    <phoneticPr fontId="7" type="noConversion"/>
  </si>
  <si>
    <t>委託廢水(D3/D-2)</t>
    <phoneticPr fontId="7" type="noConversion"/>
  </si>
  <si>
    <t>製程水
循環回收
利用系統</t>
    <phoneticPr fontId="7" type="noConversion"/>
  </si>
  <si>
    <t>區內跨廠棟廠符合放流水回收水(I'/D'-1)</t>
    <phoneticPr fontId="7" type="noConversion"/>
  </si>
  <si>
    <t>(A1-1/I7-1)</t>
    <phoneticPr fontId="7" type="noConversion"/>
  </si>
  <si>
    <t>製程水處理回收利用(c4/u2-2)</t>
    <phoneticPr fontId="7" type="noConversion"/>
  </si>
  <si>
    <t>(r1/u2)</t>
    <phoneticPr fontId="7" type="noConversion"/>
  </si>
  <si>
    <t>(A2-1/I6-1)</t>
    <phoneticPr fontId="7" type="noConversion"/>
  </si>
  <si>
    <t>(R2-1/u8-1)</t>
    <phoneticPr fontId="7" type="noConversion"/>
  </si>
  <si>
    <t>(d4/d10)</t>
    <phoneticPr fontId="7" type="noConversion"/>
  </si>
  <si>
    <t>(R2'-1/u8-1')中水</t>
    <phoneticPr fontId="7" type="noConversion"/>
  </si>
  <si>
    <t>OAC(A1/I7)</t>
    <phoneticPr fontId="7" type="noConversion"/>
  </si>
  <si>
    <t>(A1-2/I7-2)</t>
    <phoneticPr fontId="7" type="noConversion"/>
  </si>
  <si>
    <t>(f1/f1)</t>
    <phoneticPr fontId="7" type="noConversion"/>
  </si>
  <si>
    <t>c5/c4</t>
    <phoneticPr fontId="7" type="noConversion"/>
  </si>
  <si>
    <t>蒸發(V2/w4)</t>
    <phoneticPr fontId="10" type="noConversion"/>
  </si>
  <si>
    <t>雨水(A2/I6)</t>
    <phoneticPr fontId="7" type="noConversion"/>
  </si>
  <si>
    <t>(A2-2/I6-2)</t>
    <phoneticPr fontId="7" type="noConversion"/>
  </si>
  <si>
    <t>Local/Central
Scrubber</t>
    <phoneticPr fontId="7" type="noConversion"/>
  </si>
  <si>
    <t>(r2/u4)</t>
    <phoneticPr fontId="10" type="noConversion"/>
  </si>
  <si>
    <t>(d5-1/d4)</t>
  </si>
  <si>
    <t xml:space="preserve">外部再生水(R2/u8) </t>
    <phoneticPr fontId="7" type="noConversion"/>
  </si>
  <si>
    <t>(R2-2/u8-2)</t>
    <phoneticPr fontId="7" type="noConversion"/>
  </si>
  <si>
    <t>中水(R2'/u8')</t>
    <phoneticPr fontId="7" type="noConversion"/>
  </si>
  <si>
    <t>(R2'-2/u8-2')中水</t>
    <phoneticPr fontId="7" type="noConversion"/>
  </si>
  <si>
    <t>蒸發(V1/w1)</t>
    <phoneticPr fontId="7" type="noConversion"/>
  </si>
  <si>
    <t>c8/c1-2</t>
    <phoneticPr fontId="7" type="noConversion"/>
  </si>
  <si>
    <t>(R1-2/u6-2)</t>
    <phoneticPr fontId="7" type="noConversion"/>
  </si>
  <si>
    <t>冷卻水塔</t>
    <phoneticPr fontId="7" type="noConversion"/>
  </si>
  <si>
    <t>(F/F)</t>
    <phoneticPr fontId="7" type="noConversion"/>
  </si>
  <si>
    <t>(f2/f2)</t>
    <phoneticPr fontId="7" type="noConversion"/>
  </si>
  <si>
    <t>(r3/u1-1)</t>
    <phoneticPr fontId="10" type="noConversion"/>
  </si>
  <si>
    <t>(S4'/I10')被支援之間接直供中水</t>
    <phoneticPr fontId="7" type="noConversion"/>
  </si>
  <si>
    <t>(f4/f4)</t>
    <phoneticPr fontId="7" type="noConversion"/>
  </si>
  <si>
    <t>排放(d5/d9)</t>
    <phoneticPr fontId="7" type="noConversion"/>
  </si>
  <si>
    <t>民生用途(ex.沖廁)</t>
    <phoneticPr fontId="7" type="noConversion"/>
  </si>
  <si>
    <t>(d5-2/d1)</t>
    <phoneticPr fontId="7" type="noConversion"/>
  </si>
  <si>
    <t>(S4/I10)間接直供中水</t>
    <phoneticPr fontId="7" type="noConversion"/>
  </si>
  <si>
    <t>消耗(V3/w8)</t>
    <phoneticPr fontId="10" type="noConversion"/>
  </si>
  <si>
    <t>(f3/f3)</t>
    <phoneticPr fontId="7" type="noConversion"/>
  </si>
  <si>
    <t>廠務/公共用水</t>
    <phoneticPr fontId="7" type="noConversion"/>
  </si>
  <si>
    <t xml:space="preserve"> (d5-3/d8)</t>
    <phoneticPr fontId="7" type="noConversion"/>
  </si>
  <si>
    <t>總二次利用廢水回收(R1/u6)</t>
    <phoneticPr fontId="7" type="noConversion"/>
  </si>
  <si>
    <t>c6/C1-1</t>
  </si>
  <si>
    <t>製程水處理回收利用
(c3/u2-1)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</si>
</sst>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76" formatCode="0_);[Red]\(0\)"/>
    <numFmt numFmtId="177" formatCode="_-* #,##0_-;\-* #,##0_-;_-* &quot;-&quot;??_-;_-@_-"/>
    <numFmt numFmtId="178" formatCode="0.000_);[Red]\(0.000\)"/>
    <numFmt numFmtId="179" formatCode="_(* #,##0.000_);_(* \(#,##0.000\);_(* &quot;-&quot;??_);_(@_)"/>
    <numFmt numFmtId="180" formatCode="_(* #,##0_);_(* \(#,##0\);_(* &quot;-&quot;??_);_(@_)"/>
    <numFmt numFmtId="181" formatCode="0.0%"/>
  </numFmts>
  <fonts count="46" x14ac:knownFonts="1">
    <font>
      <sz val="11"/>
      <color theme="1"/>
      <name val="新細明體"/>
      <family val="2"/>
      <scheme val="minor"/>
    </font>
    <font>
      <sz val="11"/>
      <color theme="1"/>
      <name val="新細明體"/>
      <family val="2"/>
      <scheme val="minor"/>
    </font>
    <font>
      <b/>
      <sz val="12"/>
      <color theme="1"/>
      <name val="新細明體"/>
      <family val="2"/>
      <charset val="136"/>
      <scheme val="minor"/>
    </font>
    <font>
      <sz val="9"/>
      <name val="新細明體"/>
      <family val="3"/>
      <charset val="136"/>
      <scheme val="minor"/>
    </font>
    <font>
      <sz val="12"/>
      <name val="新細明體"/>
      <family val="1"/>
      <charset val="136"/>
    </font>
    <font>
      <b/>
      <sz val="12"/>
      <name val="微軟正黑體"/>
      <family val="2"/>
      <charset val="136"/>
    </font>
    <font>
      <b/>
      <sz val="11"/>
      <color rgb="FF0066CC"/>
      <name val="微軟正黑體"/>
      <family val="2"/>
      <charset val="136"/>
    </font>
    <font>
      <sz val="9"/>
      <name val="新細明體"/>
      <family val="1"/>
      <charset val="136"/>
    </font>
    <font>
      <b/>
      <sz val="12"/>
      <color indexed="8"/>
      <name val="微軟正黑體"/>
      <family val="2"/>
      <charset val="136"/>
    </font>
    <font>
      <b/>
      <sz val="12"/>
      <color indexed="8"/>
      <name val="Arial"/>
      <family val="2"/>
    </font>
    <font>
      <sz val="9"/>
      <name val="新細明體"/>
      <family val="2"/>
      <charset val="136"/>
      <scheme val="minor"/>
    </font>
    <font>
      <b/>
      <sz val="10"/>
      <color rgb="FF0066CC"/>
      <name val="微軟正黑體"/>
      <family val="2"/>
      <charset val="136"/>
    </font>
    <font>
      <b/>
      <sz val="11"/>
      <color rgb="FFFF0000"/>
      <name val="微軟正黑體"/>
      <family val="2"/>
      <charset val="136"/>
    </font>
    <font>
      <b/>
      <sz val="12"/>
      <name val="Arial"/>
      <family val="2"/>
    </font>
    <font>
      <b/>
      <sz val="11"/>
      <name val="微軟正黑體"/>
      <family val="2"/>
      <charset val="136"/>
    </font>
    <font>
      <sz val="10"/>
      <name val="Helv"/>
      <family val="2"/>
    </font>
    <font>
      <b/>
      <sz val="12"/>
      <color rgb="FF00B050"/>
      <name val="微軟正黑體"/>
      <family val="2"/>
      <charset val="136"/>
    </font>
    <font>
      <b/>
      <sz val="12"/>
      <color rgb="FFFF0000"/>
      <name val="微軟正黑體"/>
      <family val="2"/>
      <charset val="136"/>
    </font>
    <font>
      <b/>
      <sz val="12"/>
      <color indexed="8"/>
      <name val="微軟正黑體 Light"/>
      <family val="2"/>
      <charset val="136"/>
    </font>
    <font>
      <b/>
      <sz val="11"/>
      <color indexed="30"/>
      <name val="微軟正黑體"/>
      <family val="2"/>
      <charset val="136"/>
    </font>
    <font>
      <b/>
      <sz val="12"/>
      <color indexed="17"/>
      <name val="微軟正黑體"/>
      <family val="2"/>
      <charset val="136"/>
    </font>
    <font>
      <b/>
      <sz val="10"/>
      <name val="微軟正黑體"/>
      <family val="2"/>
      <charset val="136"/>
    </font>
    <font>
      <b/>
      <sz val="12"/>
      <color indexed="30"/>
      <name val="微軟正黑體"/>
      <family val="2"/>
      <charset val="136"/>
    </font>
    <font>
      <b/>
      <sz val="12"/>
      <color indexed="53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b/>
      <sz val="12"/>
      <color indexed="10"/>
      <name val="微軟正黑體"/>
      <family val="2"/>
      <charset val="136"/>
    </font>
    <font>
      <b/>
      <sz val="10"/>
      <color rgb="FF7030A0"/>
      <name val="微軟正黑體"/>
      <family val="2"/>
      <charset val="136"/>
    </font>
    <font>
      <b/>
      <sz val="12"/>
      <color theme="0" tint="-4.9989318521683403E-2"/>
      <name val="微軟正黑體"/>
      <family val="2"/>
      <charset val="136"/>
    </font>
    <font>
      <b/>
      <sz val="12"/>
      <name val="微軟正黑體 Light"/>
      <family val="2"/>
      <charset val="136"/>
    </font>
    <font>
      <b/>
      <sz val="12"/>
      <color theme="0"/>
      <name val="微軟正黑體"/>
      <family val="2"/>
      <charset val="136"/>
    </font>
    <font>
      <b/>
      <sz val="12"/>
      <color theme="1"/>
      <name val="微軟正黑體 Light"/>
      <family val="2"/>
      <charset val="136"/>
    </font>
    <font>
      <b/>
      <sz val="10"/>
      <color indexed="10"/>
      <name val="微軟正黑體"/>
      <family val="2"/>
      <charset val="136"/>
    </font>
    <font>
      <b/>
      <sz val="12"/>
      <color rgb="FF0066CC"/>
      <name val="微軟正黑體"/>
      <family val="2"/>
      <charset val="136"/>
    </font>
    <font>
      <b/>
      <sz val="10"/>
      <color indexed="30"/>
      <name val="微軟正黑體"/>
      <family val="2"/>
      <charset val="136"/>
    </font>
    <font>
      <b/>
      <sz val="14"/>
      <color indexed="14"/>
      <name val="微軟正黑體"/>
      <family val="2"/>
      <charset val="136"/>
    </font>
    <font>
      <b/>
      <sz val="12"/>
      <color indexed="14"/>
      <name val="微軟正黑體"/>
      <family val="2"/>
      <charset val="136"/>
    </font>
    <font>
      <b/>
      <sz val="12"/>
      <color indexed="23"/>
      <name val="微軟正黑體"/>
      <family val="2"/>
      <charset val="136"/>
    </font>
    <font>
      <b/>
      <sz val="11"/>
      <color indexed="48"/>
      <name val="微軟正黑體"/>
      <family val="2"/>
      <charset val="136"/>
    </font>
    <font>
      <b/>
      <sz val="12"/>
      <color indexed="36"/>
      <name val="微軟正黑體"/>
      <family val="2"/>
      <charset val="136"/>
    </font>
    <font>
      <b/>
      <sz val="11"/>
      <color indexed="36"/>
      <name val="微軟正黑體"/>
      <family val="2"/>
      <charset val="136"/>
    </font>
    <font>
      <b/>
      <sz val="11"/>
      <color indexed="8"/>
      <name val="微軟正黑體"/>
      <family val="2"/>
      <charset val="136"/>
    </font>
    <font>
      <b/>
      <sz val="11"/>
      <color indexed="10"/>
      <name val="微軟正黑體"/>
      <family val="2"/>
      <charset val="136"/>
    </font>
    <font>
      <b/>
      <sz val="11"/>
      <color indexed="23"/>
      <name val="微軟正黑體"/>
      <family val="2"/>
      <charset val="136"/>
    </font>
    <font>
      <b/>
      <sz val="10"/>
      <color indexed="48"/>
      <name val="微軟正黑體"/>
      <family val="2"/>
      <charset val="136"/>
    </font>
    <font>
      <b/>
      <sz val="11"/>
      <color theme="1"/>
      <name val="微軟正黑體"/>
      <family val="2"/>
      <charset val="136"/>
    </font>
    <font>
      <b/>
      <sz val="11"/>
      <color rgb="FF0070C0"/>
      <name val="微軟正黑體"/>
      <family val="2"/>
      <charset val="136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theme="0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6">
    <xf numFmtId="0" fontId="0" fillId="0" borderId="0"/>
    <xf numFmtId="43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15" fillId="0" borderId="0"/>
  </cellStyleXfs>
  <cellXfs count="310">
    <xf numFmtId="0" fontId="0" fillId="0" borderId="0" xfId="0"/>
    <xf numFmtId="176" fontId="5" fillId="0" borderId="0" xfId="3" applyNumberFormat="1" applyFont="1" applyAlignment="1">
      <alignment horizontal="left" vertical="center"/>
    </xf>
    <xf numFmtId="176" fontId="5" fillId="0" borderId="0" xfId="3" applyNumberFormat="1" applyFont="1" applyAlignment="1" applyProtection="1">
      <alignment horizontal="center" vertical="center"/>
      <protection locked="0"/>
    </xf>
    <xf numFmtId="177" fontId="6" fillId="0" borderId="0" xfId="1" applyNumberFormat="1" applyFont="1" applyFill="1" applyBorder="1" applyAlignment="1" applyProtection="1">
      <alignment vertical="center" wrapText="1"/>
      <protection locked="0"/>
    </xf>
    <xf numFmtId="176" fontId="5" fillId="0" borderId="0" xfId="3" applyNumberFormat="1" applyFont="1" applyAlignment="1" applyProtection="1">
      <alignment vertical="center" wrapText="1"/>
      <protection locked="0"/>
    </xf>
    <xf numFmtId="176" fontId="5" fillId="0" borderId="0" xfId="3" applyNumberFormat="1" applyFont="1" applyAlignment="1" applyProtection="1">
      <alignment horizontal="center" vertical="top" wrapText="1"/>
      <protection locked="0"/>
    </xf>
    <xf numFmtId="176" fontId="5" fillId="0" borderId="0" xfId="4" applyNumberFormat="1" applyFont="1" applyAlignment="1" applyProtection="1">
      <alignment horizontal="center" vertical="center"/>
      <protection locked="0"/>
    </xf>
    <xf numFmtId="176" fontId="5" fillId="0" borderId="0" xfId="3" applyNumberFormat="1" applyFont="1" applyAlignment="1" applyProtection="1">
      <alignment horizontal="left" vertical="center"/>
      <protection locked="0"/>
    </xf>
    <xf numFmtId="177" fontId="6" fillId="0" borderId="0" xfId="1" applyNumberFormat="1" applyFont="1" applyBorder="1" applyAlignment="1" applyProtection="1">
      <alignment horizontal="center" vertical="center" wrapText="1"/>
      <protection locked="0"/>
    </xf>
    <xf numFmtId="176" fontId="5" fillId="0" borderId="0" xfId="3" applyNumberFormat="1" applyFont="1" applyAlignment="1" applyProtection="1">
      <alignment horizontal="center" vertical="center" wrapText="1"/>
      <protection locked="0"/>
    </xf>
    <xf numFmtId="176" fontId="5" fillId="0" borderId="0" xfId="4" applyNumberFormat="1" applyFont="1" applyAlignment="1" applyProtection="1">
      <alignment horizontal="center" vertical="top" wrapText="1"/>
      <protection locked="0"/>
    </xf>
    <xf numFmtId="177" fontId="6" fillId="0" borderId="0" xfId="1" applyNumberFormat="1" applyFont="1" applyBorder="1" applyAlignment="1" applyProtection="1">
      <alignment horizontal="left" vertical="center"/>
      <protection locked="0"/>
    </xf>
    <xf numFmtId="177" fontId="9" fillId="0" borderId="4" xfId="1" applyNumberFormat="1" applyFont="1" applyFill="1" applyBorder="1" applyAlignment="1" applyProtection="1">
      <alignment vertical="center"/>
      <protection locked="0"/>
    </xf>
    <xf numFmtId="177" fontId="9" fillId="4" borderId="4" xfId="1" applyNumberFormat="1" applyFont="1" applyFill="1" applyBorder="1" applyAlignment="1" applyProtection="1">
      <alignment vertical="center"/>
      <protection locked="0"/>
    </xf>
    <xf numFmtId="177" fontId="6" fillId="0" borderId="0" xfId="1" applyNumberFormat="1" applyFont="1" applyAlignment="1" applyProtection="1">
      <alignment horizontal="left" vertical="center"/>
      <protection locked="0"/>
    </xf>
    <xf numFmtId="177" fontId="11" fillId="0" borderId="0" xfId="1" applyNumberFormat="1" applyFont="1" applyFill="1" applyAlignment="1" applyProtection="1">
      <alignment vertical="center" wrapText="1"/>
      <protection locked="0"/>
    </xf>
    <xf numFmtId="177" fontId="5" fillId="0" borderId="0" xfId="1" applyNumberFormat="1" applyFont="1" applyAlignment="1" applyProtection="1">
      <alignment horizontal="center" vertical="center"/>
      <protection locked="0"/>
    </xf>
    <xf numFmtId="177" fontId="5" fillId="0" borderId="0" xfId="1" applyNumberFormat="1" applyFont="1" applyBorder="1" applyAlignment="1" applyProtection="1">
      <alignment horizontal="center" vertical="center"/>
      <protection locked="0"/>
    </xf>
    <xf numFmtId="177" fontId="12" fillId="0" borderId="0" xfId="1" applyNumberFormat="1" applyFont="1" applyBorder="1" applyAlignment="1" applyProtection="1">
      <alignment vertical="center"/>
      <protection locked="0"/>
    </xf>
    <xf numFmtId="177" fontId="6" fillId="0" borderId="0" xfId="1" applyNumberFormat="1" applyFont="1" applyBorder="1" applyAlignment="1" applyProtection="1">
      <alignment horizontal="center" vertical="center"/>
      <protection locked="0"/>
    </xf>
    <xf numFmtId="177" fontId="13" fillId="0" borderId="4" xfId="1" applyNumberFormat="1" applyFont="1" applyFill="1" applyBorder="1" applyAlignment="1" applyProtection="1">
      <alignment vertical="center"/>
      <protection locked="0"/>
    </xf>
    <xf numFmtId="176" fontId="14" fillId="0" borderId="0" xfId="3" applyNumberFormat="1" applyFont="1" applyAlignment="1" applyProtection="1">
      <alignment horizontal="center" vertical="center" wrapText="1"/>
      <protection locked="0"/>
    </xf>
    <xf numFmtId="176" fontId="16" fillId="0" borderId="0" xfId="5" applyNumberFormat="1" applyFont="1" applyAlignment="1" applyProtection="1">
      <alignment horizontal="center" vertical="center"/>
      <protection locked="0"/>
    </xf>
    <xf numFmtId="176" fontId="16" fillId="0" borderId="0" xfId="5" applyNumberFormat="1" applyFont="1" applyAlignment="1" applyProtection="1">
      <alignment horizontal="center" vertical="center" wrapText="1"/>
      <protection locked="0"/>
    </xf>
    <xf numFmtId="176" fontId="5" fillId="0" borderId="0" xfId="3" applyNumberFormat="1" applyFont="1" applyAlignment="1">
      <alignment horizontal="center" vertical="center"/>
    </xf>
    <xf numFmtId="177" fontId="6" fillId="0" borderId="0" xfId="1" applyNumberFormat="1" applyFont="1" applyBorder="1" applyAlignment="1" applyProtection="1">
      <alignment vertical="center" wrapText="1"/>
      <protection locked="0"/>
    </xf>
    <xf numFmtId="177" fontId="5" fillId="0" borderId="0" xfId="1" applyNumberFormat="1" applyFont="1" applyBorder="1" applyAlignment="1" applyProtection="1">
      <alignment vertical="center"/>
      <protection locked="0"/>
    </xf>
    <xf numFmtId="176" fontId="14" fillId="0" borderId="0" xfId="3" applyNumberFormat="1" applyFont="1" applyAlignment="1" applyProtection="1">
      <alignment horizontal="left" vertical="center"/>
      <protection locked="0"/>
    </xf>
    <xf numFmtId="176" fontId="14" fillId="0" borderId="0" xfId="3" applyNumberFormat="1" applyFont="1" applyAlignment="1" applyProtection="1">
      <alignment vertical="center" wrapText="1"/>
      <protection locked="0"/>
    </xf>
    <xf numFmtId="176" fontId="14" fillId="0" borderId="0" xfId="3" applyNumberFormat="1" applyFont="1" applyAlignment="1" applyProtection="1">
      <alignment horizontal="center" vertical="center"/>
      <protection locked="0"/>
    </xf>
    <xf numFmtId="177" fontId="18" fillId="0" borderId="0" xfId="1" applyNumberFormat="1" applyFont="1" applyFill="1" applyBorder="1" applyAlignment="1" applyProtection="1">
      <alignment horizontal="center" vertical="center"/>
      <protection locked="0"/>
    </xf>
    <xf numFmtId="176" fontId="14" fillId="0" borderId="0" xfId="3" applyNumberFormat="1" applyFont="1" applyAlignment="1" applyProtection="1">
      <alignment horizontal="left" vertical="top" wrapText="1"/>
      <protection locked="0"/>
    </xf>
    <xf numFmtId="176" fontId="5" fillId="0" borderId="0" xfId="4" applyNumberFormat="1" applyFont="1" applyAlignment="1">
      <alignment horizontal="center" vertical="center"/>
    </xf>
    <xf numFmtId="176" fontId="5" fillId="2" borderId="4" xfId="3" applyNumberFormat="1" applyFont="1" applyFill="1" applyBorder="1" applyAlignment="1" applyProtection="1">
      <alignment horizontal="center" vertical="center"/>
      <protection locked="0"/>
    </xf>
    <xf numFmtId="177" fontId="9" fillId="0" borderId="0" xfId="1" applyNumberFormat="1" applyFont="1" applyFill="1" applyBorder="1" applyAlignment="1" applyProtection="1">
      <alignment vertical="center"/>
      <protection locked="0"/>
    </xf>
    <xf numFmtId="177" fontId="14" fillId="0" borderId="0" xfId="1" applyNumberFormat="1" applyFont="1" applyFill="1" applyBorder="1" applyAlignment="1" applyProtection="1">
      <alignment horizontal="right" vertical="center"/>
      <protection locked="0"/>
    </xf>
    <xf numFmtId="177" fontId="5" fillId="0" borderId="0" xfId="1" applyNumberFormat="1" applyFont="1" applyFill="1" applyBorder="1" applyAlignment="1" applyProtection="1">
      <alignment vertical="center"/>
      <protection locked="0"/>
    </xf>
    <xf numFmtId="177" fontId="5" fillId="0" borderId="0" xfId="1" applyNumberFormat="1" applyFont="1" applyFill="1" applyBorder="1" applyAlignment="1" applyProtection="1">
      <alignment horizontal="center" vertical="center"/>
      <protection locked="0"/>
    </xf>
    <xf numFmtId="177" fontId="5" fillId="5" borderId="4" xfId="1" applyNumberFormat="1" applyFont="1" applyFill="1" applyBorder="1" applyAlignment="1" applyProtection="1">
      <alignment vertical="center"/>
      <protection locked="0"/>
    </xf>
    <xf numFmtId="177" fontId="19" fillId="0" borderId="0" xfId="1" applyNumberFormat="1" applyFont="1" applyBorder="1" applyAlignment="1" applyProtection="1">
      <alignment horizontal="right" vertical="center"/>
      <protection locked="0"/>
    </xf>
    <xf numFmtId="177" fontId="20" fillId="0" borderId="0" xfId="1" applyNumberFormat="1" applyFont="1" applyBorder="1" applyAlignment="1" applyProtection="1">
      <alignment horizontal="center" vertical="center"/>
      <protection locked="0"/>
    </xf>
    <xf numFmtId="177" fontId="20" fillId="0" borderId="0" xfId="1" applyNumberFormat="1" applyFont="1" applyBorder="1" applyAlignment="1" applyProtection="1">
      <alignment vertical="center"/>
      <protection locked="0"/>
    </xf>
    <xf numFmtId="176" fontId="19" fillId="0" borderId="0" xfId="3" applyNumberFormat="1" applyFont="1" applyAlignment="1" applyProtection="1">
      <alignment horizontal="left" vertical="center"/>
      <protection locked="0"/>
    </xf>
    <xf numFmtId="176" fontId="19" fillId="0" borderId="0" xfId="3" applyNumberFormat="1" applyFont="1" applyAlignment="1" applyProtection="1">
      <alignment vertical="center" wrapText="1"/>
      <protection locked="0"/>
    </xf>
    <xf numFmtId="176" fontId="19" fillId="0" borderId="0" xfId="3" applyNumberFormat="1" applyFont="1" applyAlignment="1" applyProtection="1">
      <alignment horizontal="center" vertical="center"/>
      <protection locked="0"/>
    </xf>
    <xf numFmtId="177" fontId="5" fillId="0" borderId="0" xfId="1" applyNumberFormat="1" applyFont="1" applyProtection="1">
      <alignment vertical="center"/>
      <protection locked="0"/>
    </xf>
    <xf numFmtId="177" fontId="21" fillId="0" borderId="0" xfId="1" applyNumberFormat="1" applyFont="1" applyBorder="1" applyAlignment="1" applyProtection="1">
      <alignment horizontal="center" vertical="top"/>
      <protection locked="0"/>
    </xf>
    <xf numFmtId="177" fontId="22" fillId="0" borderId="0" xfId="1" applyNumberFormat="1" applyFont="1" applyBorder="1" applyAlignment="1" applyProtection="1">
      <alignment horizontal="center" vertical="center"/>
      <protection locked="0"/>
    </xf>
    <xf numFmtId="177" fontId="5" fillId="0" borderId="0" xfId="1" applyNumberFormat="1" applyFont="1" applyAlignment="1" applyProtection="1">
      <alignment vertical="center"/>
      <protection locked="0"/>
    </xf>
    <xf numFmtId="0" fontId="2" fillId="0" borderId="0" xfId="0" applyFont="1" applyAlignment="1">
      <alignment vertical="center"/>
    </xf>
    <xf numFmtId="177" fontId="6" fillId="0" borderId="0" xfId="1" applyNumberFormat="1" applyFont="1" applyFill="1" applyBorder="1" applyAlignment="1" applyProtection="1">
      <alignment horizontal="right" vertical="center"/>
      <protection locked="0"/>
    </xf>
    <xf numFmtId="177" fontId="23" fillId="0" borderId="0" xfId="1" applyNumberFormat="1" applyFont="1" applyBorder="1" applyAlignment="1" applyProtection="1">
      <alignment horizontal="center" vertical="center"/>
      <protection locked="0"/>
    </xf>
    <xf numFmtId="177" fontId="8" fillId="0" borderId="0" xfId="1" applyNumberFormat="1" applyFont="1" applyFill="1" applyBorder="1" applyAlignment="1" applyProtection="1">
      <alignment horizontal="right" vertical="center"/>
      <protection locked="0"/>
    </xf>
    <xf numFmtId="177" fontId="5" fillId="0" borderId="0" xfId="1" applyNumberFormat="1" applyFont="1" applyBorder="1" applyAlignment="1" applyProtection="1">
      <alignment horizontal="right" vertical="top"/>
      <protection locked="0"/>
    </xf>
    <xf numFmtId="176" fontId="24" fillId="0" borderId="0" xfId="3" applyNumberFormat="1" applyFont="1" applyAlignment="1">
      <alignment horizontal="center" vertical="center"/>
    </xf>
    <xf numFmtId="177" fontId="6" fillId="0" borderId="0" xfId="1" applyNumberFormat="1" applyFont="1" applyBorder="1" applyAlignment="1" applyProtection="1">
      <alignment vertical="center"/>
      <protection locked="0"/>
    </xf>
    <xf numFmtId="177" fontId="25" fillId="0" borderId="0" xfId="1" applyNumberFormat="1" applyFont="1" applyBorder="1" applyAlignment="1" applyProtection="1">
      <alignment vertical="center"/>
      <protection locked="0"/>
    </xf>
    <xf numFmtId="177" fontId="25" fillId="0" borderId="0" xfId="1" applyNumberFormat="1" applyFont="1" applyBorder="1" applyAlignment="1" applyProtection="1">
      <alignment vertical="top"/>
      <protection locked="0"/>
    </xf>
    <xf numFmtId="177" fontId="6" fillId="0" borderId="0" xfId="1" applyNumberFormat="1" applyFont="1" applyFill="1" applyBorder="1" applyAlignment="1" applyProtection="1">
      <alignment vertical="center"/>
      <protection locked="0"/>
    </xf>
    <xf numFmtId="177" fontId="5" fillId="0" borderId="0" xfId="1" applyNumberFormat="1" applyFont="1" applyBorder="1" applyAlignment="1" applyProtection="1">
      <alignment horizontal="left" vertical="top"/>
      <protection locked="0"/>
    </xf>
    <xf numFmtId="177" fontId="26" fillId="0" borderId="0" xfId="1" applyNumberFormat="1" applyFont="1" applyBorder="1" applyAlignment="1" applyProtection="1">
      <alignment horizontal="right" vertical="center"/>
      <protection locked="0"/>
    </xf>
    <xf numFmtId="177" fontId="5" fillId="0" borderId="0" xfId="1" applyNumberFormat="1" applyFont="1" applyBorder="1" applyAlignment="1" applyProtection="1">
      <alignment vertical="top"/>
      <protection locked="0"/>
    </xf>
    <xf numFmtId="177" fontId="19" fillId="0" borderId="0" xfId="1" applyNumberFormat="1" applyFont="1" applyBorder="1" applyAlignment="1" applyProtection="1">
      <alignment vertical="center" wrapText="1"/>
      <protection locked="0"/>
    </xf>
    <xf numFmtId="49" fontId="24" fillId="0" borderId="0" xfId="3" applyNumberFormat="1" applyFont="1" applyAlignment="1">
      <alignment horizontal="center" vertical="center"/>
    </xf>
    <xf numFmtId="177" fontId="22" fillId="0" borderId="0" xfId="1" applyNumberFormat="1" applyFont="1" applyBorder="1" applyAlignment="1" applyProtection="1">
      <alignment horizontal="right" vertical="center"/>
      <protection locked="0"/>
    </xf>
    <xf numFmtId="177" fontId="25" fillId="0" borderId="0" xfId="1" applyNumberFormat="1" applyFont="1" applyFill="1" applyBorder="1" applyAlignment="1" applyProtection="1">
      <alignment horizontal="left" vertical="center"/>
      <protection locked="0"/>
    </xf>
    <xf numFmtId="177" fontId="5" fillId="0" borderId="4" xfId="1" applyNumberFormat="1" applyFont="1" applyFill="1" applyBorder="1" applyAlignment="1" applyProtection="1">
      <alignment vertical="center"/>
      <protection locked="0"/>
    </xf>
    <xf numFmtId="177" fontId="5" fillId="0" borderId="0" xfId="1" applyNumberFormat="1" applyFont="1" applyFill="1" applyAlignment="1" applyProtection="1">
      <alignment vertical="center"/>
      <protection locked="0"/>
    </xf>
    <xf numFmtId="177" fontId="28" fillId="0" borderId="0" xfId="1" applyNumberFormat="1" applyFont="1" applyFill="1" applyBorder="1" applyAlignment="1" applyProtection="1">
      <alignment horizontal="center" vertical="center"/>
      <protection locked="0"/>
    </xf>
    <xf numFmtId="177" fontId="22" fillId="0" borderId="0" xfId="1" applyNumberFormat="1" applyFont="1" applyBorder="1" applyAlignment="1" applyProtection="1">
      <alignment vertical="top"/>
      <protection locked="0"/>
    </xf>
    <xf numFmtId="177" fontId="14" fillId="0" borderId="0" xfId="1" applyNumberFormat="1" applyFont="1" applyBorder="1" applyAlignment="1" applyProtection="1">
      <alignment horizontal="center" vertical="center"/>
      <protection locked="0"/>
    </xf>
    <xf numFmtId="177" fontId="11" fillId="0" borderId="0" xfId="1" applyNumberFormat="1" applyFont="1" applyBorder="1" applyAlignment="1" applyProtection="1">
      <alignment horizontal="right" vertical="center"/>
      <protection locked="0"/>
    </xf>
    <xf numFmtId="177" fontId="25" fillId="0" borderId="0" xfId="1" applyNumberFormat="1" applyFont="1" applyBorder="1" applyAlignment="1" applyProtection="1">
      <alignment horizontal="left" vertical="center"/>
      <protection locked="0"/>
    </xf>
    <xf numFmtId="177" fontId="8" fillId="0" borderId="4" xfId="1" applyNumberFormat="1" applyFont="1" applyFill="1" applyBorder="1" applyAlignment="1" applyProtection="1">
      <alignment vertical="center"/>
      <protection locked="0"/>
    </xf>
    <xf numFmtId="177" fontId="25" fillId="0" borderId="0" xfId="1" applyNumberFormat="1" applyFont="1" applyFill="1" applyBorder="1" applyAlignment="1" applyProtection="1">
      <alignment vertical="center"/>
      <protection locked="0"/>
    </xf>
    <xf numFmtId="177" fontId="25" fillId="0" borderId="0" xfId="1" applyNumberFormat="1" applyFont="1" applyFill="1" applyBorder="1" applyAlignment="1" applyProtection="1">
      <alignment horizontal="center" vertical="center"/>
      <protection locked="0"/>
    </xf>
    <xf numFmtId="177" fontId="21" fillId="0" borderId="0" xfId="1" applyNumberFormat="1" applyFont="1" applyBorder="1" applyAlignment="1" applyProtection="1">
      <alignment horizontal="center" vertical="center"/>
      <protection locked="0"/>
    </xf>
    <xf numFmtId="177" fontId="25" fillId="0" borderId="0" xfId="1" applyNumberFormat="1" applyFont="1" applyFill="1" applyBorder="1" applyAlignment="1" applyProtection="1">
      <alignment vertical="center" wrapText="1"/>
      <protection locked="0"/>
    </xf>
    <xf numFmtId="177" fontId="8" fillId="0" borderId="0" xfId="1" applyNumberFormat="1" applyFont="1" applyFill="1" applyBorder="1" applyAlignment="1" applyProtection="1">
      <alignment vertical="center"/>
      <protection locked="0"/>
    </xf>
    <xf numFmtId="177" fontId="22" fillId="0" borderId="0" xfId="1" applyNumberFormat="1" applyFont="1" applyBorder="1" applyAlignment="1" applyProtection="1">
      <alignment horizontal="left" vertical="center"/>
      <protection locked="0"/>
    </xf>
    <xf numFmtId="177" fontId="11" fillId="0" borderId="0" xfId="1" applyNumberFormat="1" applyFont="1" applyBorder="1" applyAlignment="1" applyProtection="1">
      <alignment vertical="top" wrapText="1"/>
      <protection locked="0"/>
    </xf>
    <xf numFmtId="177" fontId="29" fillId="0" borderId="0" xfId="1" applyNumberFormat="1" applyFont="1" applyFill="1" applyBorder="1" applyAlignment="1" applyProtection="1">
      <alignment horizontal="center" vertical="center"/>
      <protection locked="0"/>
    </xf>
    <xf numFmtId="177" fontId="29" fillId="0" borderId="0" xfId="1" applyNumberFormat="1" applyFont="1" applyFill="1" applyAlignment="1" applyProtection="1">
      <alignment horizontal="center" vertical="center"/>
      <protection locked="0"/>
    </xf>
    <xf numFmtId="177" fontId="5" fillId="0" borderId="0" xfId="1" applyNumberFormat="1" applyFont="1" applyFill="1" applyAlignment="1" applyProtection="1">
      <alignment horizontal="center" vertical="center"/>
      <protection locked="0"/>
    </xf>
    <xf numFmtId="177" fontId="19" fillId="0" borderId="0" xfId="1" applyNumberFormat="1" applyFont="1" applyBorder="1" applyAlignment="1" applyProtection="1">
      <alignment horizontal="center" vertical="center"/>
      <protection locked="0"/>
    </xf>
    <xf numFmtId="177" fontId="8" fillId="0" borderId="4" xfId="1" applyNumberFormat="1" applyFont="1" applyFill="1" applyBorder="1" applyAlignment="1" applyProtection="1">
      <alignment horizontal="center" vertical="center"/>
      <protection locked="0"/>
    </xf>
    <xf numFmtId="177" fontId="8" fillId="3" borderId="4" xfId="1" applyNumberFormat="1" applyFont="1" applyFill="1" applyBorder="1" applyAlignment="1" applyProtection="1">
      <alignment horizontal="center" vertical="center"/>
      <protection locked="0"/>
    </xf>
    <xf numFmtId="177" fontId="30" fillId="0" borderId="0" xfId="1" applyNumberFormat="1" applyFont="1" applyFill="1" applyBorder="1" applyAlignment="1" applyProtection="1">
      <alignment horizontal="center" vertical="center"/>
      <protection locked="0"/>
    </xf>
    <xf numFmtId="177" fontId="31" fillId="0" borderId="0" xfId="1" applyNumberFormat="1" applyFont="1" applyBorder="1" applyAlignment="1" applyProtection="1">
      <alignment vertical="center"/>
      <protection locked="0"/>
    </xf>
    <xf numFmtId="177" fontId="8" fillId="0" borderId="0" xfId="1" applyNumberFormat="1" applyFont="1" applyFill="1" applyBorder="1" applyAlignment="1" applyProtection="1">
      <alignment horizontal="center" vertical="center"/>
      <protection locked="0"/>
    </xf>
    <xf numFmtId="177" fontId="19" fillId="0" borderId="0" xfId="1" applyNumberFormat="1" applyFont="1" applyBorder="1" applyAlignment="1" applyProtection="1">
      <alignment horizontal="left" vertical="center"/>
      <protection locked="0"/>
    </xf>
    <xf numFmtId="177" fontId="21" fillId="0" borderId="0" xfId="1" applyNumberFormat="1" applyFont="1" applyAlignment="1" applyProtection="1">
      <alignment horizontal="center" vertical="center"/>
      <protection locked="0"/>
    </xf>
    <xf numFmtId="177" fontId="22" fillId="0" borderId="0" xfId="1" applyNumberFormat="1" applyFont="1" applyFill="1" applyBorder="1" applyAlignment="1" applyProtection="1">
      <alignment horizontal="left" vertical="center"/>
      <protection locked="0"/>
    </xf>
    <xf numFmtId="177" fontId="6" fillId="0" borderId="0" xfId="1" applyNumberFormat="1" applyFont="1" applyBorder="1" applyAlignment="1" applyProtection="1">
      <alignment horizontal="center" vertical="top"/>
      <protection locked="0"/>
    </xf>
    <xf numFmtId="177" fontId="31" fillId="0" borderId="0" xfId="1" applyNumberFormat="1" applyFont="1" applyBorder="1" applyAlignment="1" applyProtection="1">
      <alignment vertical="top"/>
      <protection locked="0"/>
    </xf>
    <xf numFmtId="177" fontId="31" fillId="0" borderId="0" xfId="1" applyNumberFormat="1" applyFont="1" applyBorder="1" applyAlignment="1" applyProtection="1">
      <alignment vertical="top" wrapText="1"/>
      <protection locked="0"/>
    </xf>
    <xf numFmtId="177" fontId="25" fillId="0" borderId="0" xfId="1" applyNumberFormat="1" applyFont="1" applyBorder="1" applyAlignment="1" applyProtection="1">
      <alignment horizontal="right" vertical="center"/>
      <protection locked="0"/>
    </xf>
    <xf numFmtId="177" fontId="25" fillId="0" borderId="0" xfId="1" applyNumberFormat="1" applyFont="1" applyBorder="1" applyAlignment="1" applyProtection="1">
      <alignment horizontal="center" vertical="center"/>
      <protection locked="0"/>
    </xf>
    <xf numFmtId="177" fontId="8" fillId="0" borderId="0" xfId="1" applyNumberFormat="1" applyFont="1" applyBorder="1" applyAlignment="1" applyProtection="1">
      <alignment vertical="center"/>
      <protection locked="0"/>
    </xf>
    <xf numFmtId="177" fontId="19" fillId="0" borderId="0" xfId="1" applyNumberFormat="1" applyFont="1" applyFill="1" applyBorder="1" applyAlignment="1" applyProtection="1">
      <alignment horizontal="left" vertical="center"/>
      <protection locked="0"/>
    </xf>
    <xf numFmtId="177" fontId="32" fillId="0" borderId="0" xfId="1" applyNumberFormat="1" applyFont="1" applyAlignment="1" applyProtection="1">
      <alignment horizontal="center" vertical="center"/>
      <protection locked="0"/>
    </xf>
    <xf numFmtId="177" fontId="32" fillId="0" borderId="0" xfId="1" applyNumberFormat="1" applyFont="1" applyAlignment="1" applyProtection="1">
      <alignment vertical="center"/>
      <protection locked="0"/>
    </xf>
    <xf numFmtId="177" fontId="8" fillId="6" borderId="0" xfId="1" applyNumberFormat="1" applyFont="1" applyFill="1" applyBorder="1" applyAlignment="1" applyProtection="1">
      <alignment vertical="center"/>
      <protection locked="0"/>
    </xf>
    <xf numFmtId="177" fontId="33" fillId="6" borderId="0" xfId="1" applyNumberFormat="1" applyFont="1" applyFill="1" applyBorder="1" applyAlignment="1" applyProtection="1">
      <alignment horizontal="center" vertical="center"/>
      <protection locked="0"/>
    </xf>
    <xf numFmtId="177" fontId="5" fillId="8" borderId="0" xfId="1" applyNumberFormat="1" applyFont="1" applyFill="1" applyBorder="1" applyAlignment="1" applyProtection="1">
      <alignment horizontal="center" vertical="center"/>
      <protection locked="0"/>
    </xf>
    <xf numFmtId="49" fontId="17" fillId="0" borderId="0" xfId="3" applyNumberFormat="1" applyFont="1" applyAlignment="1">
      <alignment horizontal="center" vertical="center"/>
    </xf>
    <xf numFmtId="177" fontId="31" fillId="0" borderId="0" xfId="1" applyNumberFormat="1" applyFont="1" applyBorder="1" applyAlignment="1" applyProtection="1">
      <alignment horizontal="center" vertical="center"/>
      <protection locked="0"/>
    </xf>
    <xf numFmtId="177" fontId="6" fillId="0" borderId="0" xfId="1" applyNumberFormat="1" applyFont="1" applyFill="1" applyBorder="1" applyAlignment="1" applyProtection="1">
      <alignment horizontal="center" vertical="center"/>
      <protection locked="0"/>
    </xf>
    <xf numFmtId="176" fontId="24" fillId="0" borderId="0" xfId="3" applyNumberFormat="1" applyFont="1" applyAlignment="1" applyProtection="1">
      <alignment horizontal="center" vertical="center"/>
      <protection locked="0"/>
    </xf>
    <xf numFmtId="176" fontId="24" fillId="0" borderId="0" xfId="4" applyNumberFormat="1" applyFont="1" applyAlignment="1">
      <alignment horizontal="center" vertical="center"/>
    </xf>
    <xf numFmtId="177" fontId="5" fillId="0" borderId="0" xfId="1" applyNumberFormat="1" applyFont="1" applyBorder="1" applyAlignment="1" applyProtection="1">
      <alignment horizontal="left" vertical="center"/>
      <protection locked="0"/>
    </xf>
    <xf numFmtId="177" fontId="34" fillId="0" borderId="0" xfId="1" applyNumberFormat="1" applyFont="1" applyFill="1" applyBorder="1" applyAlignment="1" applyProtection="1">
      <alignment horizontal="center" vertical="center" wrapText="1"/>
      <protection locked="0"/>
    </xf>
    <xf numFmtId="177" fontId="34" fillId="0" borderId="0" xfId="1" applyNumberFormat="1" applyFont="1" applyFill="1" applyBorder="1" applyAlignment="1" applyProtection="1">
      <alignment horizontal="center" vertical="center"/>
      <protection locked="0"/>
    </xf>
    <xf numFmtId="177" fontId="35" fillId="0" borderId="0" xfId="1" applyNumberFormat="1" applyFont="1" applyFill="1" applyBorder="1" applyAlignment="1" applyProtection="1">
      <alignment horizontal="center" vertical="center"/>
      <protection locked="0"/>
    </xf>
    <xf numFmtId="177" fontId="5" fillId="4" borderId="4" xfId="1" applyNumberFormat="1" applyFont="1" applyFill="1" applyBorder="1" applyAlignment="1" applyProtection="1">
      <alignment horizontal="center" vertical="center"/>
      <protection locked="0"/>
    </xf>
    <xf numFmtId="177" fontId="36" fillId="0" borderId="0" xfId="1" applyNumberFormat="1" applyFont="1" applyFill="1" applyBorder="1" applyAlignment="1" applyProtection="1">
      <alignment vertical="center"/>
      <protection locked="0"/>
    </xf>
    <xf numFmtId="176" fontId="19" fillId="0" borderId="0" xfId="3" applyNumberFormat="1" applyFont="1" applyAlignment="1" applyProtection="1">
      <alignment horizontal="left" vertical="top" wrapText="1"/>
      <protection locked="0"/>
    </xf>
    <xf numFmtId="49" fontId="5" fillId="0" borderId="0" xfId="3" applyNumberFormat="1" applyFont="1" applyAlignment="1">
      <alignment horizontal="center" vertical="center"/>
    </xf>
    <xf numFmtId="49" fontId="17" fillId="0" borderId="0" xfId="3" applyNumberFormat="1" applyFont="1" applyAlignment="1" applyProtection="1">
      <alignment horizontal="center" vertical="center"/>
      <protection locked="0"/>
    </xf>
    <xf numFmtId="177" fontId="37" fillId="0" borderId="25" xfId="1" applyNumberFormat="1" applyFont="1" applyFill="1" applyBorder="1" applyAlignment="1" applyProtection="1">
      <alignment vertical="center"/>
      <protection locked="0"/>
    </xf>
    <xf numFmtId="177" fontId="37" fillId="0" borderId="0" xfId="1" applyNumberFormat="1" applyFont="1" applyFill="1" applyBorder="1" applyAlignment="1" applyProtection="1">
      <alignment vertical="center"/>
      <protection locked="0"/>
    </xf>
    <xf numFmtId="177" fontId="38" fillId="0" borderId="0" xfId="1" applyNumberFormat="1" applyFont="1" applyFill="1" applyAlignment="1" applyProtection="1">
      <alignment vertical="center"/>
      <protection locked="0"/>
    </xf>
    <xf numFmtId="177" fontId="39" fillId="0" borderId="0" xfId="1" applyNumberFormat="1" applyFont="1" applyFill="1" applyAlignment="1" applyProtection="1">
      <alignment vertical="center"/>
      <protection locked="0"/>
    </xf>
    <xf numFmtId="177" fontId="14" fillId="0" borderId="0" xfId="1" applyNumberFormat="1" applyFont="1" applyBorder="1" applyAlignment="1" applyProtection="1">
      <alignment horizontal="center" vertical="center" wrapText="1"/>
      <protection locked="0"/>
    </xf>
    <xf numFmtId="177" fontId="8" fillId="0" borderId="0" xfId="1" applyNumberFormat="1" applyFont="1" applyAlignment="1" applyProtection="1">
      <alignment horizontal="center"/>
      <protection locked="0"/>
    </xf>
    <xf numFmtId="177" fontId="21" fillId="0" borderId="0" xfId="1" applyNumberFormat="1" applyFont="1" applyFill="1" applyBorder="1" applyAlignment="1" applyProtection="1">
      <alignment horizontal="center" vertical="center"/>
      <protection locked="0"/>
    </xf>
    <xf numFmtId="177" fontId="14" fillId="0" borderId="0" xfId="1" applyNumberFormat="1" applyFont="1" applyAlignment="1" applyProtection="1">
      <alignment horizontal="center" vertical="center"/>
      <protection locked="0"/>
    </xf>
    <xf numFmtId="177" fontId="40" fillId="0" borderId="0" xfId="1" applyNumberFormat="1" applyFont="1" applyFill="1" applyBorder="1" applyAlignment="1" applyProtection="1">
      <alignment vertical="center"/>
      <protection locked="0"/>
    </xf>
    <xf numFmtId="177" fontId="6" fillId="0" borderId="0" xfId="1" applyNumberFormat="1" applyFont="1" applyFill="1" applyBorder="1" applyAlignment="1" applyProtection="1">
      <alignment horizontal="left" vertical="center"/>
      <protection locked="0"/>
    </xf>
    <xf numFmtId="177" fontId="14" fillId="0" borderId="0" xfId="1" applyNumberFormat="1" applyFont="1" applyBorder="1" applyAlignment="1" applyProtection="1">
      <alignment vertical="center"/>
      <protection locked="0"/>
    </xf>
    <xf numFmtId="176" fontId="21" fillId="0" borderId="0" xfId="3" applyNumberFormat="1" applyFont="1" applyAlignment="1" applyProtection="1">
      <alignment horizontal="left" vertical="top" wrapText="1"/>
      <protection locked="0"/>
    </xf>
    <xf numFmtId="177" fontId="41" fillId="0" borderId="23" xfId="1" applyNumberFormat="1" applyFont="1" applyBorder="1" applyAlignment="1" applyProtection="1">
      <alignment vertical="center"/>
      <protection locked="0"/>
    </xf>
    <xf numFmtId="176" fontId="14" fillId="0" borderId="0" xfId="4" applyNumberFormat="1" applyFont="1" applyAlignment="1" applyProtection="1">
      <alignment horizontal="left" vertical="center"/>
      <protection locked="0"/>
    </xf>
    <xf numFmtId="176" fontId="14" fillId="0" borderId="0" xfId="4" applyNumberFormat="1" applyFont="1" applyAlignment="1" applyProtection="1">
      <alignment vertical="center" wrapText="1"/>
      <protection locked="0"/>
    </xf>
    <xf numFmtId="176" fontId="14" fillId="0" borderId="0" xfId="4" applyNumberFormat="1" applyFont="1" applyAlignment="1" applyProtection="1">
      <alignment horizontal="center" vertical="center"/>
      <protection locked="0"/>
    </xf>
    <xf numFmtId="177" fontId="5" fillId="0" borderId="0" xfId="1" applyNumberFormat="1" applyFont="1" applyAlignment="1" applyProtection="1">
      <alignment horizontal="left" vertical="center"/>
      <protection locked="0"/>
    </xf>
    <xf numFmtId="177" fontId="42" fillId="0" borderId="0" xfId="1" applyNumberFormat="1" applyFont="1" applyFill="1" applyBorder="1" applyAlignment="1" applyProtection="1">
      <alignment vertical="center"/>
      <protection locked="0"/>
    </xf>
    <xf numFmtId="177" fontId="42" fillId="0" borderId="17" xfId="1" applyNumberFormat="1" applyFont="1" applyFill="1" applyBorder="1" applyAlignment="1" applyProtection="1">
      <alignment vertical="center"/>
      <protection locked="0"/>
    </xf>
    <xf numFmtId="177" fontId="23" fillId="0" borderId="0" xfId="1" applyNumberFormat="1" applyFont="1" applyAlignment="1" applyProtection="1">
      <alignment horizontal="right" vertical="center"/>
      <protection locked="0"/>
    </xf>
    <xf numFmtId="177" fontId="5" fillId="3" borderId="4" xfId="1" applyNumberFormat="1" applyFont="1" applyFill="1" applyBorder="1" applyAlignment="1" applyProtection="1">
      <alignment horizontal="center" vertical="center"/>
      <protection locked="0"/>
    </xf>
    <xf numFmtId="177" fontId="14" fillId="0" borderId="0" xfId="1" applyNumberFormat="1" applyFont="1" applyFill="1" applyBorder="1" applyAlignment="1" applyProtection="1">
      <alignment horizontal="center" vertical="center"/>
      <protection locked="0"/>
    </xf>
    <xf numFmtId="177" fontId="14" fillId="0" borderId="0" xfId="1" applyNumberFormat="1" applyFont="1" applyAlignment="1" applyProtection="1">
      <protection locked="0"/>
    </xf>
    <xf numFmtId="177" fontId="43" fillId="0" borderId="0" xfId="1" applyNumberFormat="1" applyFont="1" applyFill="1" applyBorder="1" applyAlignment="1" applyProtection="1">
      <alignment vertical="center"/>
      <protection locked="0"/>
    </xf>
    <xf numFmtId="177" fontId="5" fillId="0" borderId="0" xfId="1" applyNumberFormat="1" applyFont="1" applyAlignment="1" applyProtection="1">
      <protection locked="0"/>
    </xf>
    <xf numFmtId="177" fontId="41" fillId="0" borderId="0" xfId="1" applyNumberFormat="1" applyFont="1" applyFill="1" applyBorder="1" applyAlignment="1" applyProtection="1">
      <alignment horizontal="center" vertical="center"/>
      <protection locked="0"/>
    </xf>
    <xf numFmtId="177" fontId="6" fillId="0" borderId="0" xfId="1" applyNumberFormat="1" applyFont="1" applyBorder="1" applyAlignment="1" applyProtection="1">
      <alignment horizontal="left" vertical="top"/>
      <protection locked="0"/>
    </xf>
    <xf numFmtId="177" fontId="6" fillId="0" borderId="0" xfId="1" applyNumberFormat="1" applyFont="1" applyBorder="1" applyAlignment="1" applyProtection="1">
      <alignment horizontal="center"/>
      <protection locked="0"/>
    </xf>
    <xf numFmtId="177" fontId="14" fillId="0" borderId="0" xfId="1" applyNumberFormat="1" applyFont="1" applyFill="1" applyBorder="1" applyAlignment="1" applyProtection="1">
      <alignment vertical="center"/>
      <protection locked="0"/>
    </xf>
    <xf numFmtId="177" fontId="42" fillId="0" borderId="0" xfId="1" applyNumberFormat="1" applyFont="1" applyBorder="1" applyAlignment="1" applyProtection="1">
      <alignment vertical="center"/>
      <protection locked="0"/>
    </xf>
    <xf numFmtId="177" fontId="19" fillId="0" borderId="0" xfId="1" applyNumberFormat="1" applyFont="1" applyBorder="1" applyAlignment="1" applyProtection="1">
      <alignment vertical="top"/>
      <protection locked="0"/>
    </xf>
    <xf numFmtId="176" fontId="5" fillId="0" borderId="0" xfId="3" applyNumberFormat="1" applyFont="1" applyAlignment="1" applyProtection="1">
      <alignment horizontal="right" vertical="center"/>
      <protection locked="0"/>
    </xf>
    <xf numFmtId="176" fontId="5" fillId="0" borderId="0" xfId="3" applyNumberFormat="1" applyFont="1" applyAlignment="1" applyProtection="1">
      <alignment vertical="center"/>
      <protection locked="0"/>
    </xf>
    <xf numFmtId="176" fontId="25" fillId="0" borderId="0" xfId="3" applyNumberFormat="1" applyFont="1" applyAlignment="1" applyProtection="1">
      <alignment vertical="center"/>
      <protection locked="0"/>
    </xf>
    <xf numFmtId="176" fontId="25" fillId="0" borderId="0" xfId="3" applyNumberFormat="1" applyFont="1" applyAlignment="1" applyProtection="1">
      <alignment horizontal="left" vertical="center"/>
      <protection locked="0"/>
    </xf>
    <xf numFmtId="176" fontId="41" fillId="0" borderId="0" xfId="3" applyNumberFormat="1" applyFont="1" applyAlignment="1" applyProtection="1">
      <alignment horizontal="left" vertical="center"/>
      <protection locked="0"/>
    </xf>
    <xf numFmtId="176" fontId="41" fillId="0" borderId="0" xfId="3" applyNumberFormat="1" applyFont="1" applyAlignment="1" applyProtection="1">
      <alignment vertical="center" wrapText="1"/>
      <protection locked="0"/>
    </xf>
    <xf numFmtId="176" fontId="41" fillId="0" borderId="0" xfId="3" applyNumberFormat="1" applyFont="1" applyAlignment="1" applyProtection="1">
      <alignment horizontal="center" vertical="center"/>
      <protection locked="0"/>
    </xf>
    <xf numFmtId="0" fontId="14" fillId="0" borderId="0" xfId="3" applyFont="1" applyAlignment="1" applyProtection="1">
      <alignment vertical="top" wrapText="1"/>
      <protection locked="0"/>
    </xf>
    <xf numFmtId="176" fontId="14" fillId="0" borderId="0" xfId="3" applyNumberFormat="1" applyFont="1" applyAlignment="1" applyProtection="1">
      <alignment vertical="top" wrapText="1"/>
      <protection locked="0"/>
    </xf>
    <xf numFmtId="176" fontId="41" fillId="0" borderId="0" xfId="3" applyNumberFormat="1" applyFont="1" applyAlignment="1" applyProtection="1">
      <alignment horizontal="left" vertical="center" wrapText="1"/>
      <protection locked="0"/>
    </xf>
    <xf numFmtId="176" fontId="41" fillId="0" borderId="0" xfId="3" applyNumberFormat="1" applyFont="1" applyAlignment="1" applyProtection="1">
      <alignment horizontal="center" vertical="center" wrapText="1"/>
      <protection locked="0"/>
    </xf>
    <xf numFmtId="176" fontId="41" fillId="0" borderId="0" xfId="3" applyNumberFormat="1" applyFont="1" applyAlignment="1" applyProtection="1">
      <alignment vertical="top" wrapText="1"/>
      <protection locked="0"/>
    </xf>
    <xf numFmtId="176" fontId="41" fillId="0" borderId="0" xfId="3" applyNumberFormat="1" applyFont="1" applyAlignment="1" applyProtection="1">
      <alignment horizontal="left" vertical="top"/>
      <protection locked="0"/>
    </xf>
    <xf numFmtId="176" fontId="41" fillId="0" borderId="0" xfId="3" applyNumberFormat="1" applyFont="1" applyAlignment="1" applyProtection="1">
      <alignment horizontal="center" vertical="top"/>
      <protection locked="0"/>
    </xf>
    <xf numFmtId="176" fontId="19" fillId="0" borderId="0" xfId="3" applyNumberFormat="1" applyFont="1" applyAlignment="1" applyProtection="1">
      <alignment horizontal="left" vertical="top"/>
      <protection locked="0"/>
    </xf>
    <xf numFmtId="176" fontId="19" fillId="0" borderId="0" xfId="3" applyNumberFormat="1" applyFont="1" applyAlignment="1" applyProtection="1">
      <alignment horizontal="center" vertical="top"/>
      <protection locked="0"/>
    </xf>
    <xf numFmtId="176" fontId="19" fillId="0" borderId="0" xfId="3" applyNumberFormat="1" applyFont="1" applyAlignment="1" applyProtection="1">
      <alignment vertical="top" wrapText="1"/>
      <protection locked="0"/>
    </xf>
    <xf numFmtId="176" fontId="5" fillId="0" borderId="0" xfId="5" applyNumberFormat="1" applyFont="1" applyAlignment="1" applyProtection="1">
      <alignment vertical="top" wrapText="1"/>
      <protection locked="0"/>
    </xf>
    <xf numFmtId="176" fontId="5" fillId="0" borderId="0" xfId="3" applyNumberFormat="1" applyFont="1" applyAlignment="1" applyProtection="1">
      <alignment horizontal="left" vertical="top" wrapText="1"/>
      <protection locked="0"/>
    </xf>
    <xf numFmtId="176" fontId="19" fillId="0" borderId="0" xfId="4" applyNumberFormat="1" applyFont="1" applyAlignment="1" applyProtection="1">
      <alignment horizontal="left" vertical="center"/>
      <protection locked="0"/>
    </xf>
    <xf numFmtId="176" fontId="19" fillId="0" borderId="0" xfId="4" applyNumberFormat="1" applyFont="1" applyAlignment="1" applyProtection="1">
      <alignment vertical="center" wrapText="1"/>
      <protection locked="0"/>
    </xf>
    <xf numFmtId="176" fontId="19" fillId="0" borderId="0" xfId="4" applyNumberFormat="1" applyFont="1" applyAlignment="1" applyProtection="1">
      <alignment horizontal="center" vertical="center"/>
      <protection locked="0"/>
    </xf>
    <xf numFmtId="176" fontId="17" fillId="0" borderId="0" xfId="3" applyNumberFormat="1" applyFont="1" applyAlignment="1" applyProtection="1">
      <alignment horizontal="center" vertical="top" wrapText="1"/>
      <protection locked="0"/>
    </xf>
    <xf numFmtId="176" fontId="14" fillId="0" borderId="0" xfId="4" applyNumberFormat="1" applyFont="1" applyAlignment="1" applyProtection="1">
      <alignment horizontal="left" vertical="top" wrapText="1"/>
      <protection locked="0"/>
    </xf>
    <xf numFmtId="176" fontId="32" fillId="0" borderId="0" xfId="4" applyNumberFormat="1" applyFont="1" applyAlignment="1" applyProtection="1">
      <alignment horizontal="center" vertical="center" wrapText="1"/>
      <protection locked="0"/>
    </xf>
    <xf numFmtId="176" fontId="5" fillId="0" borderId="0" xfId="4" applyNumberFormat="1" applyFont="1" applyAlignment="1" applyProtection="1">
      <alignment vertical="center" wrapText="1"/>
      <protection locked="0"/>
    </xf>
    <xf numFmtId="176" fontId="5" fillId="0" borderId="0" xfId="4" applyNumberFormat="1" applyFont="1" applyAlignment="1" applyProtection="1">
      <alignment horizontal="left" vertical="top" wrapText="1"/>
      <protection locked="0"/>
    </xf>
    <xf numFmtId="176" fontId="32" fillId="0" borderId="0" xfId="4" applyNumberFormat="1" applyFont="1" applyAlignment="1" applyProtection="1">
      <alignment vertical="center" wrapText="1"/>
      <protection locked="0"/>
    </xf>
    <xf numFmtId="176" fontId="5" fillId="0" borderId="0" xfId="4" applyNumberFormat="1" applyFont="1" applyAlignment="1" applyProtection="1">
      <alignment vertical="top" wrapText="1"/>
      <protection locked="0"/>
    </xf>
    <xf numFmtId="176" fontId="5" fillId="0" borderId="0" xfId="4" applyNumberFormat="1" applyFont="1" applyAlignment="1" applyProtection="1">
      <alignment vertical="center"/>
      <protection locked="0"/>
    </xf>
    <xf numFmtId="178" fontId="14" fillId="0" borderId="0" xfId="4" applyNumberFormat="1" applyFont="1" applyAlignment="1" applyProtection="1">
      <alignment horizontal="center" vertical="center"/>
      <protection locked="0"/>
    </xf>
    <xf numFmtId="176" fontId="5" fillId="0" borderId="0" xfId="4" applyNumberFormat="1" applyFont="1" applyAlignment="1">
      <alignment horizontal="right" vertical="center"/>
    </xf>
    <xf numFmtId="176" fontId="14" fillId="0" borderId="0" xfId="4" applyNumberFormat="1" applyFont="1" applyAlignment="1" applyProtection="1">
      <alignment horizontal="left" vertical="center" wrapText="1"/>
      <protection locked="0"/>
    </xf>
    <xf numFmtId="179" fontId="21" fillId="0" borderId="0" xfId="1" applyNumberFormat="1" applyFont="1" applyFill="1" applyBorder="1" applyAlignment="1" applyProtection="1">
      <alignment horizontal="center" vertical="center"/>
      <protection locked="0"/>
    </xf>
    <xf numFmtId="176" fontId="21" fillId="0" borderId="0" xfId="4" applyNumberFormat="1" applyFont="1" applyAlignment="1" applyProtection="1">
      <alignment vertical="center"/>
      <protection locked="0"/>
    </xf>
    <xf numFmtId="176" fontId="21" fillId="0" borderId="0" xfId="4" applyNumberFormat="1" applyFont="1" applyAlignment="1" applyProtection="1">
      <alignment horizontal="left" vertical="center"/>
      <protection locked="0"/>
    </xf>
    <xf numFmtId="180" fontId="21" fillId="0" borderId="0" xfId="1" applyNumberFormat="1" applyFont="1" applyFill="1" applyBorder="1" applyAlignment="1" applyProtection="1">
      <alignment horizontal="center" vertical="center"/>
      <protection locked="0"/>
    </xf>
    <xf numFmtId="181" fontId="21" fillId="0" borderId="0" xfId="2" applyNumberFormat="1" applyFont="1" applyFill="1" applyBorder="1" applyAlignment="1" applyProtection="1">
      <alignment horizontal="center" vertical="center"/>
      <protection locked="0"/>
    </xf>
    <xf numFmtId="0" fontId="24" fillId="0" borderId="0" xfId="0" applyFont="1" applyAlignment="1">
      <alignment vertical="center"/>
    </xf>
    <xf numFmtId="49" fontId="5" fillId="0" borderId="0" xfId="4" applyNumberFormat="1" applyFont="1" applyAlignment="1" applyProtection="1">
      <alignment horizontal="center" vertical="center"/>
      <protection locked="0"/>
    </xf>
    <xf numFmtId="49" fontId="24" fillId="0" borderId="0" xfId="0" applyNumberFormat="1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49" fontId="2" fillId="0" borderId="0" xfId="0" applyNumberFormat="1" applyFont="1" applyAlignment="1">
      <alignment vertical="center"/>
    </xf>
    <xf numFmtId="0" fontId="24" fillId="0" borderId="0" xfId="0" applyFont="1" applyAlignment="1">
      <alignment horizontal="center" vertical="center"/>
    </xf>
    <xf numFmtId="177" fontId="6" fillId="2" borderId="0" xfId="1" applyNumberFormat="1" applyFont="1" applyFill="1" applyBorder="1" applyAlignment="1" applyProtection="1">
      <alignment horizontal="center" vertical="center" wrapText="1"/>
      <protection locked="0"/>
    </xf>
    <xf numFmtId="177" fontId="6" fillId="0" borderId="0" xfId="1" applyNumberFormat="1" applyFont="1" applyFill="1" applyAlignment="1" applyProtection="1">
      <alignment horizontal="center" vertical="center" wrapText="1"/>
      <protection locked="0"/>
    </xf>
    <xf numFmtId="177" fontId="6" fillId="0" borderId="1" xfId="1" applyNumberFormat="1" applyFont="1" applyFill="1" applyBorder="1" applyAlignment="1" applyProtection="1">
      <alignment horizontal="center" vertical="center" wrapText="1"/>
      <protection locked="0"/>
    </xf>
    <xf numFmtId="177" fontId="6" fillId="2" borderId="0" xfId="1" applyNumberFormat="1" applyFont="1" applyFill="1" applyBorder="1" applyAlignment="1" applyProtection="1">
      <alignment horizontal="center" vertical="center" wrapText="1"/>
      <protection locked="0"/>
    </xf>
    <xf numFmtId="177" fontId="6" fillId="2" borderId="1" xfId="1" applyNumberFormat="1" applyFont="1" applyFill="1" applyBorder="1" applyAlignment="1" applyProtection="1">
      <alignment horizontal="center" vertical="center" wrapText="1"/>
      <protection locked="0"/>
    </xf>
    <xf numFmtId="177" fontId="6" fillId="0" borderId="0" xfId="1" applyNumberFormat="1" applyFont="1" applyBorder="1" applyAlignment="1" applyProtection="1">
      <alignment horizontal="center" vertical="center" wrapText="1"/>
      <protection locked="0"/>
    </xf>
    <xf numFmtId="177" fontId="8" fillId="0" borderId="2" xfId="1" applyNumberFormat="1" applyFont="1" applyFill="1" applyBorder="1" applyAlignment="1" applyProtection="1">
      <alignment horizontal="center" vertical="center"/>
      <protection locked="0"/>
    </xf>
    <xf numFmtId="177" fontId="8" fillId="0" borderId="3" xfId="1" applyNumberFormat="1" applyFont="1" applyFill="1" applyBorder="1" applyAlignment="1" applyProtection="1">
      <alignment horizontal="center" vertical="center"/>
      <protection locked="0"/>
    </xf>
    <xf numFmtId="177" fontId="8" fillId="0" borderId="2" xfId="1" applyNumberFormat="1" applyFont="1" applyFill="1" applyBorder="1" applyAlignment="1" applyProtection="1">
      <alignment horizontal="right" vertical="center"/>
      <protection locked="0"/>
    </xf>
    <xf numFmtId="177" fontId="8" fillId="0" borderId="3" xfId="1" applyNumberFormat="1" applyFont="1" applyFill="1" applyBorder="1" applyAlignment="1" applyProtection="1">
      <alignment horizontal="right" vertical="center"/>
      <protection locked="0"/>
    </xf>
    <xf numFmtId="177" fontId="8" fillId="3" borderId="2" xfId="1" applyNumberFormat="1" applyFont="1" applyFill="1" applyBorder="1" applyAlignment="1" applyProtection="1">
      <alignment horizontal="center" vertical="center"/>
      <protection locked="0"/>
    </xf>
    <xf numFmtId="177" fontId="8" fillId="3" borderId="3" xfId="1" applyNumberFormat="1" applyFont="1" applyFill="1" applyBorder="1" applyAlignment="1" applyProtection="1">
      <alignment horizontal="center" vertical="center"/>
      <protection locked="0"/>
    </xf>
    <xf numFmtId="177" fontId="9" fillId="0" borderId="2" xfId="1" applyNumberFormat="1" applyFont="1" applyFill="1" applyBorder="1" applyAlignment="1" applyProtection="1">
      <alignment horizontal="center" vertical="center"/>
      <protection locked="0"/>
    </xf>
    <xf numFmtId="177" fontId="9" fillId="0" borderId="3" xfId="1" applyNumberFormat="1" applyFont="1" applyFill="1" applyBorder="1" applyAlignment="1" applyProtection="1">
      <alignment horizontal="center" vertical="center"/>
      <protection locked="0"/>
    </xf>
    <xf numFmtId="177" fontId="5" fillId="5" borderId="2" xfId="1" applyNumberFormat="1" applyFont="1" applyFill="1" applyBorder="1" applyAlignment="1" applyProtection="1">
      <alignment horizontal="center" vertical="center"/>
      <protection locked="0"/>
    </xf>
    <xf numFmtId="177" fontId="5" fillId="5" borderId="3" xfId="1" applyNumberFormat="1" applyFont="1" applyFill="1" applyBorder="1" applyAlignment="1" applyProtection="1">
      <alignment horizontal="center" vertical="center"/>
      <protection locked="0"/>
    </xf>
    <xf numFmtId="176" fontId="17" fillId="0" borderId="0" xfId="3" applyNumberFormat="1" applyFont="1" applyAlignment="1" applyProtection="1">
      <alignment horizontal="center" vertical="center"/>
      <protection locked="0"/>
    </xf>
    <xf numFmtId="177" fontId="8" fillId="6" borderId="5" xfId="1" applyNumberFormat="1" applyFont="1" applyFill="1" applyBorder="1" applyAlignment="1" applyProtection="1">
      <alignment horizontal="center" vertical="center"/>
      <protection locked="0"/>
    </xf>
    <xf numFmtId="177" fontId="8" fillId="6" borderId="6" xfId="1" applyNumberFormat="1" applyFont="1" applyFill="1" applyBorder="1" applyAlignment="1" applyProtection="1">
      <alignment horizontal="center" vertical="center"/>
      <protection locked="0"/>
    </xf>
    <xf numFmtId="177" fontId="8" fillId="6" borderId="7" xfId="1" applyNumberFormat="1" applyFont="1" applyFill="1" applyBorder="1" applyAlignment="1" applyProtection="1">
      <alignment horizontal="center" vertical="center"/>
      <protection locked="0"/>
    </xf>
    <xf numFmtId="177" fontId="8" fillId="6" borderId="8" xfId="1" applyNumberFormat="1" applyFont="1" applyFill="1" applyBorder="1" applyAlignment="1" applyProtection="1">
      <alignment horizontal="center" vertical="center"/>
      <protection locked="0"/>
    </xf>
    <xf numFmtId="177" fontId="8" fillId="6" borderId="9" xfId="1" applyNumberFormat="1" applyFont="1" applyFill="1" applyBorder="1" applyAlignment="1" applyProtection="1">
      <alignment horizontal="center" vertical="center"/>
      <protection locked="0"/>
    </xf>
    <xf numFmtId="177" fontId="8" fillId="6" borderId="10" xfId="1" applyNumberFormat="1" applyFont="1" applyFill="1" applyBorder="1" applyAlignment="1" applyProtection="1">
      <alignment horizontal="center" vertical="center"/>
      <protection locked="0"/>
    </xf>
    <xf numFmtId="177" fontId="8" fillId="0" borderId="4" xfId="1" applyNumberFormat="1" applyFont="1" applyFill="1" applyBorder="1" applyAlignment="1" applyProtection="1">
      <alignment horizontal="center" vertical="center"/>
      <protection locked="0"/>
    </xf>
    <xf numFmtId="177" fontId="19" fillId="0" borderId="0" xfId="1" applyNumberFormat="1" applyFont="1" applyBorder="1" applyAlignment="1" applyProtection="1">
      <alignment horizontal="center" vertical="center" wrapText="1"/>
      <protection locked="0"/>
    </xf>
    <xf numFmtId="177" fontId="6" fillId="0" borderId="0" xfId="1" applyNumberFormat="1" applyFont="1" applyBorder="1" applyAlignment="1" applyProtection="1">
      <alignment horizontal="center" vertical="center"/>
      <protection locked="0"/>
    </xf>
    <xf numFmtId="177" fontId="5" fillId="7" borderId="2" xfId="1" applyNumberFormat="1" applyFont="1" applyFill="1" applyBorder="1" applyAlignment="1" applyProtection="1">
      <alignment horizontal="center" vertical="center"/>
      <protection locked="0"/>
    </xf>
    <xf numFmtId="177" fontId="5" fillId="7" borderId="11" xfId="1" applyNumberFormat="1" applyFont="1" applyFill="1" applyBorder="1" applyAlignment="1" applyProtection="1">
      <alignment horizontal="center" vertical="center"/>
      <protection locked="0"/>
    </xf>
    <xf numFmtId="177" fontId="5" fillId="7" borderId="3" xfId="1" applyNumberFormat="1" applyFont="1" applyFill="1" applyBorder="1" applyAlignment="1" applyProtection="1">
      <alignment horizontal="center" vertical="center"/>
      <protection locked="0"/>
    </xf>
    <xf numFmtId="177" fontId="6" fillId="0" borderId="0" xfId="1" applyNumberFormat="1" applyFont="1" applyBorder="1" applyAlignment="1" applyProtection="1">
      <alignment horizontal="center"/>
      <protection locked="0"/>
    </xf>
    <xf numFmtId="177" fontId="5" fillId="3" borderId="2" xfId="1" applyNumberFormat="1" applyFont="1" applyFill="1" applyBorder="1" applyAlignment="1" applyProtection="1">
      <alignment vertical="center"/>
      <protection locked="0"/>
    </xf>
    <xf numFmtId="177" fontId="5" fillId="3" borderId="3" xfId="1" applyNumberFormat="1" applyFont="1" applyFill="1" applyBorder="1" applyAlignment="1" applyProtection="1">
      <alignment vertical="center"/>
      <protection locked="0"/>
    </xf>
    <xf numFmtId="177" fontId="5" fillId="0" borderId="15" xfId="1" applyNumberFormat="1" applyFont="1" applyBorder="1" applyAlignment="1" applyProtection="1">
      <alignment horizontal="center" vertical="center" wrapText="1"/>
      <protection locked="0"/>
    </xf>
    <xf numFmtId="177" fontId="5" fillId="0" borderId="16" xfId="1" applyNumberFormat="1" applyFont="1" applyBorder="1" applyAlignment="1" applyProtection="1">
      <alignment horizontal="center" vertical="center"/>
      <protection locked="0"/>
    </xf>
    <xf numFmtId="177" fontId="5" fillId="0" borderId="18" xfId="1" applyNumberFormat="1" applyFont="1" applyBorder="1" applyAlignment="1" applyProtection="1">
      <alignment horizontal="center" vertical="center"/>
      <protection locked="0"/>
    </xf>
    <xf numFmtId="177" fontId="5" fillId="0" borderId="19" xfId="1" applyNumberFormat="1" applyFont="1" applyBorder="1" applyAlignment="1" applyProtection="1">
      <alignment horizontal="center" vertical="center"/>
      <protection locked="0"/>
    </xf>
    <xf numFmtId="177" fontId="13" fillId="4" borderId="2" xfId="1" applyNumberFormat="1" applyFont="1" applyFill="1" applyBorder="1" applyAlignment="1" applyProtection="1">
      <alignment horizontal="center" vertical="center"/>
      <protection locked="0"/>
    </xf>
    <xf numFmtId="177" fontId="13" fillId="4" borderId="3" xfId="1" applyNumberFormat="1" applyFont="1" applyFill="1" applyBorder="1" applyAlignment="1" applyProtection="1">
      <alignment horizontal="center" vertical="center"/>
      <protection locked="0"/>
    </xf>
    <xf numFmtId="177" fontId="6" fillId="0" borderId="0" xfId="1" applyNumberFormat="1" applyFont="1" applyBorder="1" applyAlignment="1" applyProtection="1">
      <alignment horizontal="center" vertical="top"/>
      <protection locked="0"/>
    </xf>
    <xf numFmtId="177" fontId="6" fillId="6" borderId="0" xfId="1" applyNumberFormat="1" applyFont="1" applyFill="1" applyBorder="1" applyAlignment="1" applyProtection="1">
      <alignment horizontal="center" vertical="top"/>
      <protection locked="0"/>
    </xf>
    <xf numFmtId="177" fontId="6" fillId="0" borderId="17" xfId="1" applyNumberFormat="1" applyFont="1" applyBorder="1" applyAlignment="1" applyProtection="1">
      <alignment horizontal="center" vertical="center"/>
      <protection locked="0"/>
    </xf>
    <xf numFmtId="177" fontId="8" fillId="5" borderId="2" xfId="1" applyNumberFormat="1" applyFont="1" applyFill="1" applyBorder="1" applyAlignment="1" applyProtection="1">
      <alignment horizontal="center" vertical="center"/>
      <protection locked="0"/>
    </xf>
    <xf numFmtId="177" fontId="8" fillId="5" borderId="3" xfId="1" applyNumberFormat="1" applyFont="1" applyFill="1" applyBorder="1" applyAlignment="1" applyProtection="1">
      <alignment horizontal="center" vertical="center"/>
      <protection locked="0"/>
    </xf>
    <xf numFmtId="177" fontId="5" fillId="0" borderId="12" xfId="1" applyNumberFormat="1" applyFont="1" applyBorder="1" applyAlignment="1" applyProtection="1">
      <alignment horizontal="center" vertical="center"/>
      <protection locked="0"/>
    </xf>
    <xf numFmtId="177" fontId="5" fillId="0" borderId="13" xfId="1" applyNumberFormat="1" applyFont="1" applyBorder="1" applyAlignment="1" applyProtection="1">
      <alignment horizontal="center" vertical="center"/>
      <protection locked="0"/>
    </xf>
    <xf numFmtId="177" fontId="5" fillId="0" borderId="14" xfId="1" applyNumberFormat="1" applyFont="1" applyBorder="1" applyAlignment="1" applyProtection="1">
      <alignment horizontal="center" vertical="center"/>
      <protection locked="0"/>
    </xf>
    <xf numFmtId="177" fontId="5" fillId="0" borderId="8" xfId="1" applyNumberFormat="1" applyFont="1" applyBorder="1" applyAlignment="1" applyProtection="1">
      <alignment horizontal="center" vertical="center"/>
      <protection locked="0"/>
    </xf>
    <xf numFmtId="177" fontId="5" fillId="0" borderId="9" xfId="1" applyNumberFormat="1" applyFont="1" applyBorder="1" applyAlignment="1" applyProtection="1">
      <alignment horizontal="center" vertical="center"/>
      <protection locked="0"/>
    </xf>
    <xf numFmtId="177" fontId="5" fillId="0" borderId="10" xfId="1" applyNumberFormat="1" applyFont="1" applyBorder="1" applyAlignment="1" applyProtection="1">
      <alignment horizontal="center" vertical="center"/>
      <protection locked="0"/>
    </xf>
    <xf numFmtId="177" fontId="5" fillId="0" borderId="5" xfId="1" applyNumberFormat="1" applyFont="1" applyBorder="1" applyAlignment="1" applyProtection="1">
      <alignment horizontal="center" vertical="center"/>
      <protection locked="0"/>
    </xf>
    <xf numFmtId="177" fontId="5" fillId="0" borderId="6" xfId="1" applyNumberFormat="1" applyFont="1" applyBorder="1" applyAlignment="1" applyProtection="1">
      <alignment horizontal="center" vertical="center"/>
      <protection locked="0"/>
    </xf>
    <xf numFmtId="177" fontId="5" fillId="0" borderId="7" xfId="1" applyNumberFormat="1" applyFont="1" applyBorder="1" applyAlignment="1" applyProtection="1">
      <alignment horizontal="center" vertical="center"/>
      <protection locked="0"/>
    </xf>
    <xf numFmtId="49" fontId="5" fillId="3" borderId="2" xfId="1" applyNumberFormat="1" applyFont="1" applyFill="1" applyBorder="1" applyAlignment="1" applyProtection="1">
      <alignment horizontal="center" vertical="center"/>
      <protection locked="0"/>
    </xf>
    <xf numFmtId="49" fontId="5" fillId="3" borderId="3" xfId="1" applyNumberFormat="1" applyFont="1" applyFill="1" applyBorder="1" applyAlignment="1" applyProtection="1">
      <alignment horizontal="center" vertical="center"/>
      <protection locked="0"/>
    </xf>
    <xf numFmtId="177" fontId="27" fillId="0" borderId="0" xfId="1" applyNumberFormat="1" applyFont="1" applyFill="1" applyBorder="1" applyAlignment="1" applyProtection="1">
      <alignment horizontal="center" vertical="center"/>
      <protection locked="0"/>
    </xf>
    <xf numFmtId="177" fontId="6" fillId="0" borderId="0" xfId="1" applyNumberFormat="1" applyFont="1" applyFill="1" applyBorder="1" applyAlignment="1" applyProtection="1">
      <alignment horizontal="center" vertical="center"/>
      <protection locked="0"/>
    </xf>
    <xf numFmtId="177" fontId="6" fillId="0" borderId="20" xfId="1" applyNumberFormat="1" applyFont="1" applyFill="1" applyBorder="1" applyAlignment="1" applyProtection="1">
      <alignment horizontal="center" vertical="center"/>
      <protection locked="0"/>
    </xf>
    <xf numFmtId="177" fontId="6" fillId="0" borderId="0" xfId="1" applyNumberFormat="1" applyFont="1" applyAlignment="1" applyProtection="1">
      <alignment horizontal="center" vertical="center" wrapText="1"/>
      <protection locked="0"/>
    </xf>
    <xf numFmtId="177" fontId="6" fillId="0" borderId="0" xfId="1" applyNumberFormat="1" applyFont="1" applyFill="1" applyBorder="1" applyAlignment="1" applyProtection="1">
      <alignment horizontal="center" vertical="center" wrapText="1"/>
      <protection locked="0"/>
    </xf>
    <xf numFmtId="177" fontId="11" fillId="0" borderId="0" xfId="1" applyNumberFormat="1" applyFont="1" applyAlignment="1" applyProtection="1">
      <alignment horizontal="center" vertical="center" wrapText="1"/>
      <protection locked="0"/>
    </xf>
    <xf numFmtId="177" fontId="11" fillId="0" borderId="20" xfId="1" applyNumberFormat="1" applyFont="1" applyBorder="1" applyAlignment="1" applyProtection="1">
      <alignment horizontal="center" vertical="center" wrapText="1"/>
      <protection locked="0"/>
    </xf>
    <xf numFmtId="177" fontId="11" fillId="0" borderId="0" xfId="1" applyNumberFormat="1" applyFont="1" applyBorder="1" applyAlignment="1" applyProtection="1">
      <alignment horizontal="center" vertical="center" wrapText="1"/>
      <protection locked="0"/>
    </xf>
    <xf numFmtId="177" fontId="24" fillId="0" borderId="2" xfId="1" applyNumberFormat="1" applyFont="1" applyFill="1" applyBorder="1" applyAlignment="1" applyProtection="1">
      <alignment horizontal="center" vertical="center"/>
      <protection locked="0"/>
    </xf>
    <xf numFmtId="0" fontId="24" fillId="0" borderId="3" xfId="1" applyNumberFormat="1" applyFont="1" applyFill="1" applyBorder="1" applyAlignment="1" applyProtection="1">
      <alignment horizontal="center" vertical="center"/>
      <protection locked="0"/>
    </xf>
    <xf numFmtId="177" fontId="6" fillId="0" borderId="0" xfId="1" applyNumberFormat="1" applyFont="1" applyBorder="1" applyAlignment="1" applyProtection="1">
      <alignment horizontal="center" vertical="top" wrapText="1"/>
      <protection locked="0"/>
    </xf>
    <xf numFmtId="177" fontId="24" fillId="0" borderId="21" xfId="1" applyNumberFormat="1" applyFont="1" applyBorder="1" applyAlignment="1" applyProtection="1">
      <alignment horizontal="center" vertical="center" wrapText="1"/>
      <protection locked="0"/>
    </xf>
    <xf numFmtId="177" fontId="24" fillId="0" borderId="15" xfId="1" applyNumberFormat="1" applyFont="1" applyBorder="1" applyAlignment="1" applyProtection="1">
      <alignment horizontal="center" vertical="center"/>
      <protection locked="0"/>
    </xf>
    <xf numFmtId="177" fontId="24" fillId="0" borderId="16" xfId="1" applyNumberFormat="1" applyFont="1" applyBorder="1" applyAlignment="1" applyProtection="1">
      <alignment horizontal="center" vertical="center"/>
      <protection locked="0"/>
    </xf>
    <xf numFmtId="177" fontId="24" fillId="0" borderId="22" xfId="1" applyNumberFormat="1" applyFont="1" applyBorder="1" applyAlignment="1" applyProtection="1">
      <alignment horizontal="center" vertical="center"/>
      <protection locked="0"/>
    </xf>
    <xf numFmtId="177" fontId="24" fillId="0" borderId="0" xfId="1" applyNumberFormat="1" applyFont="1" applyBorder="1" applyAlignment="1" applyProtection="1">
      <alignment horizontal="center" vertical="center"/>
      <protection locked="0"/>
    </xf>
    <xf numFmtId="177" fontId="24" fillId="0" borderId="17" xfId="1" applyNumberFormat="1" applyFont="1" applyBorder="1" applyAlignment="1" applyProtection="1">
      <alignment horizontal="center" vertical="center"/>
      <protection locked="0"/>
    </xf>
    <xf numFmtId="177" fontId="24" fillId="0" borderId="18" xfId="1" applyNumberFormat="1" applyFont="1" applyBorder="1" applyAlignment="1" applyProtection="1">
      <alignment horizontal="center" vertical="center"/>
      <protection locked="0"/>
    </xf>
    <xf numFmtId="177" fontId="24" fillId="0" borderId="23" xfId="1" applyNumberFormat="1" applyFont="1" applyBorder="1" applyAlignment="1" applyProtection="1">
      <alignment horizontal="center" vertical="center"/>
      <protection locked="0"/>
    </xf>
    <xf numFmtId="177" fontId="24" fillId="0" borderId="19" xfId="1" applyNumberFormat="1" applyFont="1" applyBorder="1" applyAlignment="1" applyProtection="1">
      <alignment horizontal="center" vertical="center"/>
      <protection locked="0"/>
    </xf>
    <xf numFmtId="177" fontId="8" fillId="0" borderId="0" xfId="1" applyNumberFormat="1" applyFont="1" applyFill="1" applyBorder="1" applyAlignment="1" applyProtection="1">
      <alignment horizontal="center" vertical="center"/>
      <protection locked="0"/>
    </xf>
    <xf numFmtId="177" fontId="6" fillId="0" borderId="24" xfId="1" applyNumberFormat="1" applyFont="1" applyBorder="1" applyAlignment="1" applyProtection="1">
      <alignment horizontal="center" vertical="center"/>
      <protection locked="0"/>
    </xf>
    <xf numFmtId="177" fontId="8" fillId="7" borderId="2" xfId="1" applyNumberFormat="1" applyFont="1" applyFill="1" applyBorder="1" applyAlignment="1" applyProtection="1">
      <alignment horizontal="center" vertical="center"/>
      <protection locked="0"/>
    </xf>
    <xf numFmtId="177" fontId="8" fillId="7" borderId="3" xfId="1" applyNumberFormat="1" applyFont="1" applyFill="1" applyBorder="1" applyAlignment="1" applyProtection="1">
      <alignment horizontal="center" vertical="center"/>
      <protection locked="0"/>
    </xf>
    <xf numFmtId="177" fontId="5" fillId="0" borderId="0" xfId="1" applyNumberFormat="1" applyFont="1" applyFill="1" applyBorder="1" applyAlignment="1" applyProtection="1">
      <alignment horizontal="center" vertical="center"/>
      <protection locked="0"/>
    </xf>
    <xf numFmtId="176" fontId="6" fillId="0" borderId="25" xfId="3" applyNumberFormat="1" applyFont="1" applyBorder="1" applyAlignment="1" applyProtection="1">
      <alignment horizontal="left" vertical="center"/>
      <protection locked="0"/>
    </xf>
    <xf numFmtId="176" fontId="6" fillId="0" borderId="0" xfId="3" applyNumberFormat="1" applyFont="1" applyAlignment="1" applyProtection="1">
      <alignment horizontal="left" vertical="center"/>
      <protection locked="0"/>
    </xf>
    <xf numFmtId="177" fontId="6" fillId="0" borderId="0" xfId="1" applyNumberFormat="1" applyFont="1" applyFill="1" applyBorder="1" applyAlignment="1" applyProtection="1">
      <alignment horizontal="right" vertical="center"/>
      <protection locked="0"/>
    </xf>
    <xf numFmtId="177" fontId="6" fillId="0" borderId="24" xfId="1" applyNumberFormat="1" applyFont="1" applyFill="1" applyBorder="1" applyAlignment="1" applyProtection="1">
      <alignment horizontal="right" vertical="center"/>
      <protection locked="0"/>
    </xf>
    <xf numFmtId="177" fontId="21" fillId="3" borderId="2" xfId="1" applyNumberFormat="1" applyFont="1" applyFill="1" applyBorder="1" applyAlignment="1" applyProtection="1">
      <alignment horizontal="center" vertical="center"/>
      <protection locked="0"/>
    </xf>
    <xf numFmtId="177" fontId="21" fillId="3" borderId="3" xfId="1" applyNumberFormat="1" applyFont="1" applyFill="1" applyBorder="1" applyAlignment="1" applyProtection="1">
      <alignment horizontal="center" vertical="center"/>
      <protection locked="0"/>
    </xf>
    <xf numFmtId="177" fontId="8" fillId="4" borderId="2" xfId="1" applyNumberFormat="1" applyFont="1" applyFill="1" applyBorder="1" applyAlignment="1" applyProtection="1">
      <alignment horizontal="center" vertical="center"/>
      <protection locked="0"/>
    </xf>
    <xf numFmtId="177" fontId="8" fillId="4" borderId="3" xfId="1" applyNumberFormat="1" applyFont="1" applyFill="1" applyBorder="1" applyAlignment="1" applyProtection="1">
      <alignment horizontal="center" vertical="center"/>
      <protection locked="0"/>
    </xf>
    <xf numFmtId="177" fontId="5" fillId="0" borderId="21" xfId="1" applyNumberFormat="1" applyFont="1" applyBorder="1" applyAlignment="1" applyProtection="1">
      <alignment horizontal="center" vertical="center" wrapText="1"/>
      <protection locked="0"/>
    </xf>
    <xf numFmtId="177" fontId="5" fillId="0" borderId="17" xfId="1" applyNumberFormat="1" applyFont="1" applyBorder="1" applyAlignment="1" applyProtection="1">
      <alignment horizontal="center" vertical="center" wrapText="1"/>
      <protection locked="0"/>
    </xf>
    <xf numFmtId="177" fontId="5" fillId="0" borderId="22" xfId="1" applyNumberFormat="1" applyFont="1" applyBorder="1" applyAlignment="1" applyProtection="1">
      <alignment horizontal="center" vertical="center" wrapText="1"/>
      <protection locked="0"/>
    </xf>
    <xf numFmtId="177" fontId="5" fillId="0" borderId="0" xfId="1" applyNumberFormat="1" applyFont="1" applyBorder="1" applyAlignment="1" applyProtection="1">
      <alignment horizontal="center" vertical="center" wrapText="1"/>
      <protection locked="0"/>
    </xf>
    <xf numFmtId="177" fontId="5" fillId="0" borderId="18" xfId="1" applyNumberFormat="1" applyFont="1" applyBorder="1" applyAlignment="1" applyProtection="1">
      <alignment horizontal="center" vertical="center" wrapText="1"/>
      <protection locked="0"/>
    </xf>
    <xf numFmtId="177" fontId="5" fillId="0" borderId="23" xfId="1" applyNumberFormat="1" applyFont="1" applyBorder="1" applyAlignment="1" applyProtection="1">
      <alignment horizontal="center" vertical="center" wrapText="1"/>
      <protection locked="0"/>
    </xf>
    <xf numFmtId="177" fontId="14" fillId="3" borderId="2" xfId="1" applyNumberFormat="1" applyFont="1" applyFill="1" applyBorder="1" applyAlignment="1" applyProtection="1">
      <alignment horizontal="center" vertical="center"/>
      <protection locked="0"/>
    </xf>
    <xf numFmtId="177" fontId="14" fillId="3" borderId="3" xfId="1" applyNumberFormat="1" applyFont="1" applyFill="1" applyBorder="1" applyAlignment="1" applyProtection="1">
      <alignment horizontal="center" vertical="center"/>
      <protection locked="0"/>
    </xf>
    <xf numFmtId="177" fontId="40" fillId="0" borderId="2" xfId="1" applyNumberFormat="1" applyFont="1" applyFill="1" applyBorder="1" applyAlignment="1" applyProtection="1">
      <alignment horizontal="center" vertical="center"/>
      <protection locked="0"/>
    </xf>
    <xf numFmtId="177" fontId="40" fillId="0" borderId="3" xfId="1" applyNumberFormat="1" applyFont="1" applyFill="1" applyBorder="1" applyAlignment="1" applyProtection="1">
      <alignment horizontal="center" vertical="center"/>
      <protection locked="0"/>
    </xf>
    <xf numFmtId="177" fontId="37" fillId="0" borderId="0" xfId="1" applyNumberFormat="1" applyFont="1" applyFill="1" applyBorder="1" applyAlignment="1" applyProtection="1">
      <alignment horizontal="left" vertical="center"/>
      <protection locked="0"/>
    </xf>
    <xf numFmtId="177" fontId="40" fillId="3" borderId="2" xfId="1" applyNumberFormat="1" applyFont="1" applyFill="1" applyBorder="1" applyAlignment="1" applyProtection="1">
      <alignment horizontal="center" vertical="center"/>
      <protection locked="0"/>
    </xf>
    <xf numFmtId="177" fontId="40" fillId="3" borderId="3" xfId="1" applyNumberFormat="1" applyFont="1" applyFill="1" applyBorder="1" applyAlignment="1" applyProtection="1">
      <alignment horizontal="center" vertical="center"/>
      <protection locked="0"/>
    </xf>
    <xf numFmtId="177" fontId="6" fillId="0" borderId="0" xfId="1" applyNumberFormat="1" applyFont="1" applyFill="1" applyBorder="1" applyAlignment="1" applyProtection="1">
      <alignment horizontal="center" vertical="top"/>
      <protection locked="0"/>
    </xf>
    <xf numFmtId="177" fontId="44" fillId="3" borderId="2" xfId="1" applyNumberFormat="1" applyFont="1" applyFill="1" applyBorder="1" applyAlignment="1" applyProtection="1">
      <alignment horizontal="center" vertical="center"/>
      <protection locked="0"/>
    </xf>
    <xf numFmtId="177" fontId="44" fillId="3" borderId="3" xfId="1" applyNumberFormat="1" applyFont="1" applyFill="1" applyBorder="1" applyAlignment="1" applyProtection="1">
      <alignment horizontal="center" vertical="center"/>
      <protection locked="0"/>
    </xf>
    <xf numFmtId="177" fontId="5" fillId="0" borderId="21" xfId="1" applyNumberFormat="1" applyFont="1" applyBorder="1" applyAlignment="1" applyProtection="1">
      <alignment horizontal="center" vertical="center"/>
      <protection locked="0"/>
    </xf>
    <xf numFmtId="177" fontId="5" fillId="0" borderId="15" xfId="1" applyNumberFormat="1" applyFont="1" applyBorder="1" applyAlignment="1" applyProtection="1">
      <alignment horizontal="center" vertical="center"/>
      <protection locked="0"/>
    </xf>
    <xf numFmtId="177" fontId="5" fillId="0" borderId="17" xfId="1" applyNumberFormat="1" applyFont="1" applyBorder="1" applyAlignment="1" applyProtection="1">
      <alignment horizontal="center" vertical="center"/>
      <protection locked="0"/>
    </xf>
    <xf numFmtId="177" fontId="5" fillId="0" borderId="22" xfId="1" applyNumberFormat="1" applyFont="1" applyBorder="1" applyAlignment="1" applyProtection="1">
      <alignment horizontal="center" vertical="center"/>
      <protection locked="0"/>
    </xf>
    <xf numFmtId="177" fontId="5" fillId="0" borderId="0" xfId="1" applyNumberFormat="1" applyFont="1" applyBorder="1" applyAlignment="1" applyProtection="1">
      <alignment horizontal="center" vertical="center"/>
      <protection locked="0"/>
    </xf>
    <xf numFmtId="177" fontId="5" fillId="0" borderId="23" xfId="1" applyNumberFormat="1" applyFont="1" applyBorder="1" applyAlignment="1" applyProtection="1">
      <alignment horizontal="center" vertical="center"/>
      <protection locked="0"/>
    </xf>
    <xf numFmtId="176" fontId="32" fillId="0" borderId="0" xfId="4" applyNumberFormat="1" applyFont="1" applyAlignment="1" applyProtection="1">
      <alignment horizontal="center" vertical="center" wrapText="1"/>
      <protection locked="0"/>
    </xf>
    <xf numFmtId="177" fontId="5" fillId="0" borderId="2" xfId="1" applyNumberFormat="1" applyFont="1" applyFill="1" applyBorder="1" applyAlignment="1" applyProtection="1">
      <alignment horizontal="center" vertical="center"/>
      <protection locked="0"/>
    </xf>
    <xf numFmtId="177" fontId="5" fillId="0" borderId="3" xfId="1" applyNumberFormat="1" applyFont="1" applyFill="1" applyBorder="1" applyAlignment="1" applyProtection="1">
      <alignment horizontal="center" vertical="center"/>
      <protection locked="0"/>
    </xf>
    <xf numFmtId="177" fontId="45" fillId="0" borderId="25" xfId="1" applyNumberFormat="1" applyFont="1" applyBorder="1" applyAlignment="1" applyProtection="1">
      <alignment horizontal="center" vertical="center"/>
      <protection locked="0"/>
    </xf>
    <xf numFmtId="177" fontId="45" fillId="0" borderId="0" xfId="1" applyNumberFormat="1" applyFont="1" applyBorder="1" applyAlignment="1" applyProtection="1">
      <alignment horizontal="center" vertical="center"/>
      <protection locked="0"/>
    </xf>
    <xf numFmtId="177" fontId="14" fillId="0" borderId="2" xfId="1" applyNumberFormat="1" applyFont="1" applyFill="1" applyBorder="1" applyAlignment="1" applyProtection="1">
      <alignment vertical="center"/>
      <protection locked="0"/>
    </xf>
    <xf numFmtId="177" fontId="14" fillId="0" borderId="3" xfId="1" applyNumberFormat="1" applyFont="1" applyFill="1" applyBorder="1" applyAlignment="1" applyProtection="1">
      <alignment vertical="center"/>
      <protection locked="0"/>
    </xf>
  </cellXfs>
  <cellStyles count="6">
    <cellStyle name="一般" xfId="0" builtinId="0"/>
    <cellStyle name="一般_用水平衡圖(R8)版" xfId="3" xr:uid="{1A2E356D-C663-426F-A087-EB31271D5935}"/>
    <cellStyle name="一般_用水平衡圖(R8)版 2" xfId="4" xr:uid="{C1FE1DA8-0093-4951-A5F8-BFE5A4BD2DEB}"/>
    <cellStyle name="一般_用水回收率計算R3---日月光K5-0417-10" xfId="5" xr:uid="{76661E45-FFA8-4C87-8B99-1F165E586297}"/>
    <cellStyle name="千分位" xfId="1" builtinId="3"/>
    <cellStyle name="百分比" xfId="2" builtinId="5"/>
  </cellStyles>
  <dxfs count="29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223837</xdr:rowOff>
    </xdr:from>
    <xdr:to>
      <xdr:col>21</xdr:col>
      <xdr:colOff>2381</xdr:colOff>
      <xdr:row>11</xdr:row>
      <xdr:rowOff>7890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D02952CB-D82D-480F-BCA6-F615DFE011B9}"/>
            </a:ext>
          </a:extLst>
        </xdr:cNvPr>
        <xdr:cNvSpPr>
          <a:spLocks noChangeShapeType="1"/>
        </xdr:cNvSpPr>
      </xdr:nvSpPr>
      <xdr:spPr bwMode="auto">
        <a:xfrm flipV="1">
          <a:off x="0" y="2868612"/>
          <a:ext cx="8003381" cy="19003"/>
        </a:xfrm>
        <a:prstGeom prst="line">
          <a:avLst/>
        </a:prstGeom>
        <a:noFill/>
        <a:ln w="9525">
          <a:solidFill>
            <a:sysClr val="windowText" lastClr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19844</xdr:colOff>
      <xdr:row>11</xdr:row>
      <xdr:rowOff>244475</xdr:rowOff>
    </xdr:from>
    <xdr:to>
      <xdr:col>23</xdr:col>
      <xdr:colOff>21825</xdr:colOff>
      <xdr:row>14</xdr:row>
      <xdr:rowOff>27450</xdr:rowOff>
    </xdr:to>
    <xdr:sp macro="" textlink="">
      <xdr:nvSpPr>
        <xdr:cNvPr id="3" name="Line 3">
          <a:extLst>
            <a:ext uri="{FF2B5EF4-FFF2-40B4-BE49-F238E27FC236}">
              <a16:creationId xmlns:a16="http://schemas.microsoft.com/office/drawing/2014/main" id="{E2376712-E8F0-43B9-B7F8-3191ED71974A}"/>
            </a:ext>
          </a:extLst>
        </xdr:cNvPr>
        <xdr:cNvSpPr>
          <a:spLocks noChangeShapeType="1"/>
        </xdr:cNvSpPr>
      </xdr:nvSpPr>
      <xdr:spPr bwMode="auto">
        <a:xfrm>
          <a:off x="9573419" y="3121025"/>
          <a:ext cx="1981" cy="519575"/>
        </a:xfrm>
        <a:prstGeom prst="line">
          <a:avLst/>
        </a:prstGeom>
        <a:noFill/>
        <a:ln w="9525">
          <a:solidFill>
            <a:sysClr val="windowText" lastClr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21622</xdr:colOff>
      <xdr:row>14</xdr:row>
      <xdr:rowOff>8317</xdr:rowOff>
    </xdr:from>
    <xdr:to>
      <xdr:col>30</xdr:col>
      <xdr:colOff>194659</xdr:colOff>
      <xdr:row>14</xdr:row>
      <xdr:rowOff>18636</xdr:rowOff>
    </xdr:to>
    <xdr:sp macro="" textlink="">
      <xdr:nvSpPr>
        <xdr:cNvPr id="4" name="Line 4">
          <a:extLst>
            <a:ext uri="{FF2B5EF4-FFF2-40B4-BE49-F238E27FC236}">
              <a16:creationId xmlns:a16="http://schemas.microsoft.com/office/drawing/2014/main" id="{7EA5437F-3F30-4C46-866D-206FB2C815EE}"/>
            </a:ext>
          </a:extLst>
        </xdr:cNvPr>
        <xdr:cNvSpPr>
          <a:spLocks noChangeShapeType="1"/>
        </xdr:cNvSpPr>
      </xdr:nvSpPr>
      <xdr:spPr bwMode="auto">
        <a:xfrm flipV="1">
          <a:off x="9581502" y="3619768"/>
          <a:ext cx="3859615" cy="10319"/>
        </a:xfrm>
        <a:prstGeom prst="line">
          <a:avLst/>
        </a:prstGeom>
        <a:noFill/>
        <a:ln w="9525">
          <a:solidFill>
            <a:sysClr val="windowText" lastClr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443619</xdr:colOff>
      <xdr:row>14</xdr:row>
      <xdr:rowOff>227143</xdr:rowOff>
    </xdr:from>
    <xdr:to>
      <xdr:col>22</xdr:col>
      <xdr:colOff>16565</xdr:colOff>
      <xdr:row>14</xdr:row>
      <xdr:rowOff>227143</xdr:rowOff>
    </xdr:to>
    <xdr:sp macro="" textlink="">
      <xdr:nvSpPr>
        <xdr:cNvPr id="5" name="Line 5">
          <a:extLst>
            <a:ext uri="{FF2B5EF4-FFF2-40B4-BE49-F238E27FC236}">
              <a16:creationId xmlns:a16="http://schemas.microsoft.com/office/drawing/2014/main" id="{F6C7E59C-546D-4B7B-BE85-1FFB15B3CA02}"/>
            </a:ext>
          </a:extLst>
        </xdr:cNvPr>
        <xdr:cNvSpPr>
          <a:spLocks noChangeShapeType="1"/>
        </xdr:cNvSpPr>
      </xdr:nvSpPr>
      <xdr:spPr bwMode="auto">
        <a:xfrm flipH="1" flipV="1">
          <a:off x="5228344" y="3837118"/>
          <a:ext cx="3732196" cy="0"/>
        </a:xfrm>
        <a:prstGeom prst="line">
          <a:avLst/>
        </a:prstGeom>
        <a:noFill/>
        <a:ln w="9525">
          <a:solidFill>
            <a:sysClr val="windowText" lastClr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2168</xdr:colOff>
      <xdr:row>10</xdr:row>
      <xdr:rowOff>225444</xdr:rowOff>
    </xdr:from>
    <xdr:to>
      <xdr:col>28</xdr:col>
      <xdr:colOff>300228</xdr:colOff>
      <xdr:row>10</xdr:row>
      <xdr:rowOff>225444</xdr:rowOff>
    </xdr:to>
    <xdr:sp macro="" textlink="">
      <xdr:nvSpPr>
        <xdr:cNvPr id="6" name="Line 7">
          <a:extLst>
            <a:ext uri="{FF2B5EF4-FFF2-40B4-BE49-F238E27FC236}">
              <a16:creationId xmlns:a16="http://schemas.microsoft.com/office/drawing/2014/main" id="{4B1B3E7E-2BB1-400E-81AE-0AA252DC15A2}"/>
            </a:ext>
          </a:extLst>
        </xdr:cNvPr>
        <xdr:cNvSpPr>
          <a:spLocks noChangeShapeType="1"/>
        </xdr:cNvSpPr>
      </xdr:nvSpPr>
      <xdr:spPr bwMode="auto">
        <a:xfrm>
          <a:off x="10365368" y="2873394"/>
          <a:ext cx="2561835" cy="0"/>
        </a:xfrm>
        <a:prstGeom prst="line">
          <a:avLst/>
        </a:prstGeom>
        <a:noFill/>
        <a:ln w="9525">
          <a:solidFill>
            <a:sysClr val="windowText" lastClr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zh-TW" altLang="en-US"/>
        </a:p>
      </xdr:txBody>
    </xdr:sp>
    <xdr:clientData/>
  </xdr:twoCellAnchor>
  <xdr:twoCellAnchor>
    <xdr:from>
      <xdr:col>33</xdr:col>
      <xdr:colOff>10417</xdr:colOff>
      <xdr:row>11</xdr:row>
      <xdr:rowOff>1620</xdr:rowOff>
    </xdr:from>
    <xdr:to>
      <xdr:col>42</xdr:col>
      <xdr:colOff>942</xdr:colOff>
      <xdr:row>11</xdr:row>
      <xdr:rowOff>1620</xdr:rowOff>
    </xdr:to>
    <xdr:sp macro="" textlink="">
      <xdr:nvSpPr>
        <xdr:cNvPr id="7" name="Line 8">
          <a:extLst>
            <a:ext uri="{FF2B5EF4-FFF2-40B4-BE49-F238E27FC236}">
              <a16:creationId xmlns:a16="http://schemas.microsoft.com/office/drawing/2014/main" id="{F253267E-9117-43CE-9568-30B7371B437B}"/>
            </a:ext>
          </a:extLst>
        </xdr:cNvPr>
        <xdr:cNvSpPr>
          <a:spLocks noChangeShapeType="1"/>
        </xdr:cNvSpPr>
      </xdr:nvSpPr>
      <xdr:spPr bwMode="auto">
        <a:xfrm>
          <a:off x="14256642" y="2878170"/>
          <a:ext cx="3317925" cy="0"/>
        </a:xfrm>
        <a:prstGeom prst="line">
          <a:avLst/>
        </a:prstGeom>
        <a:noFill/>
        <a:ln w="9525">
          <a:solidFill>
            <a:sysClr val="windowText" lastClr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214820</xdr:colOff>
      <xdr:row>11</xdr:row>
      <xdr:rowOff>12469</xdr:rowOff>
    </xdr:from>
    <xdr:to>
      <xdr:col>14</xdr:col>
      <xdr:colOff>219678</xdr:colOff>
      <xdr:row>20</xdr:row>
      <xdr:rowOff>12158</xdr:rowOff>
    </xdr:to>
    <xdr:sp macro="" textlink="">
      <xdr:nvSpPr>
        <xdr:cNvPr id="8" name="Line 10">
          <a:extLst>
            <a:ext uri="{FF2B5EF4-FFF2-40B4-BE49-F238E27FC236}">
              <a16:creationId xmlns:a16="http://schemas.microsoft.com/office/drawing/2014/main" id="{9D576425-30AB-491B-9B19-F7C6B289F1CB}"/>
            </a:ext>
          </a:extLst>
        </xdr:cNvPr>
        <xdr:cNvSpPr>
          <a:spLocks noChangeShapeType="1"/>
        </xdr:cNvSpPr>
      </xdr:nvSpPr>
      <xdr:spPr bwMode="auto">
        <a:xfrm flipV="1">
          <a:off x="4999545" y="2885844"/>
          <a:ext cx="0" cy="2171389"/>
        </a:xfrm>
        <a:prstGeom prst="line">
          <a:avLst/>
        </a:prstGeom>
        <a:noFill/>
        <a:ln w="9525">
          <a:solidFill>
            <a:sysClr val="windowText" lastClr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609057</xdr:colOff>
      <xdr:row>28</xdr:row>
      <xdr:rowOff>5239</xdr:rowOff>
    </xdr:from>
    <xdr:to>
      <xdr:col>26</xdr:col>
      <xdr:colOff>609057</xdr:colOff>
      <xdr:row>29</xdr:row>
      <xdr:rowOff>100701</xdr:rowOff>
    </xdr:to>
    <xdr:sp macro="" textlink="">
      <xdr:nvSpPr>
        <xdr:cNvPr id="9" name="Line 12">
          <a:extLst>
            <a:ext uri="{FF2B5EF4-FFF2-40B4-BE49-F238E27FC236}">
              <a16:creationId xmlns:a16="http://schemas.microsoft.com/office/drawing/2014/main" id="{A9CE80FE-1449-4106-BC6F-B603664195E6}"/>
            </a:ext>
          </a:extLst>
        </xdr:cNvPr>
        <xdr:cNvSpPr>
          <a:spLocks noChangeShapeType="1"/>
        </xdr:cNvSpPr>
      </xdr:nvSpPr>
      <xdr:spPr bwMode="auto">
        <a:xfrm flipV="1">
          <a:off x="12039057" y="6885464"/>
          <a:ext cx="0" cy="324062"/>
        </a:xfrm>
        <a:prstGeom prst="line">
          <a:avLst/>
        </a:prstGeom>
        <a:noFill/>
        <a:ln w="9525">
          <a:solidFill>
            <a:sysClr val="windowText" lastClr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559919</xdr:colOff>
      <xdr:row>27</xdr:row>
      <xdr:rowOff>227012</xdr:rowOff>
    </xdr:from>
    <xdr:to>
      <xdr:col>28</xdr:col>
      <xdr:colOff>300037</xdr:colOff>
      <xdr:row>28</xdr:row>
      <xdr:rowOff>451</xdr:rowOff>
    </xdr:to>
    <xdr:sp macro="" textlink="">
      <xdr:nvSpPr>
        <xdr:cNvPr id="10" name="Line 13">
          <a:extLst>
            <a:ext uri="{FF2B5EF4-FFF2-40B4-BE49-F238E27FC236}">
              <a16:creationId xmlns:a16="http://schemas.microsoft.com/office/drawing/2014/main" id="{4EC314EA-6598-4AD9-9153-ECE33C358C4E}"/>
            </a:ext>
          </a:extLst>
        </xdr:cNvPr>
        <xdr:cNvSpPr>
          <a:spLocks noChangeShapeType="1"/>
        </xdr:cNvSpPr>
      </xdr:nvSpPr>
      <xdr:spPr bwMode="auto">
        <a:xfrm flipV="1">
          <a:off x="12037544" y="6875462"/>
          <a:ext cx="892643" cy="2039"/>
        </a:xfrm>
        <a:prstGeom prst="line">
          <a:avLst/>
        </a:prstGeom>
        <a:noFill/>
        <a:ln w="9525">
          <a:solidFill>
            <a:sysClr val="windowText" lastClr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2948</xdr:colOff>
      <xdr:row>29</xdr:row>
      <xdr:rowOff>100701</xdr:rowOff>
    </xdr:from>
    <xdr:to>
      <xdr:col>28</xdr:col>
      <xdr:colOff>4890</xdr:colOff>
      <xdr:row>29</xdr:row>
      <xdr:rowOff>100701</xdr:rowOff>
    </xdr:to>
    <xdr:sp macro="" textlink="">
      <xdr:nvSpPr>
        <xdr:cNvPr id="11" name="Line 14">
          <a:extLst>
            <a:ext uri="{FF2B5EF4-FFF2-40B4-BE49-F238E27FC236}">
              <a16:creationId xmlns:a16="http://schemas.microsoft.com/office/drawing/2014/main" id="{8E6F446B-6C01-4EFB-AC35-675288352EA9}"/>
            </a:ext>
          </a:extLst>
        </xdr:cNvPr>
        <xdr:cNvSpPr>
          <a:spLocks noChangeShapeType="1"/>
        </xdr:cNvSpPr>
      </xdr:nvSpPr>
      <xdr:spPr bwMode="auto">
        <a:xfrm>
          <a:off x="12042548" y="7209526"/>
          <a:ext cx="595667" cy="0"/>
        </a:xfrm>
        <a:prstGeom prst="line">
          <a:avLst/>
        </a:prstGeom>
        <a:noFill/>
        <a:ln w="9525">
          <a:solidFill>
            <a:sysClr val="windowText" lastClr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33</xdr:col>
      <xdr:colOff>1745</xdr:colOff>
      <xdr:row>29</xdr:row>
      <xdr:rowOff>225192</xdr:rowOff>
    </xdr:from>
    <xdr:to>
      <xdr:col>36</xdr:col>
      <xdr:colOff>181769</xdr:colOff>
      <xdr:row>29</xdr:row>
      <xdr:rowOff>227806</xdr:rowOff>
    </xdr:to>
    <xdr:sp macro="" textlink="">
      <xdr:nvSpPr>
        <xdr:cNvPr id="12" name="Line 15">
          <a:extLst>
            <a:ext uri="{FF2B5EF4-FFF2-40B4-BE49-F238E27FC236}">
              <a16:creationId xmlns:a16="http://schemas.microsoft.com/office/drawing/2014/main" id="{2D5DFBAE-E424-4EB0-9DC8-B48D4894B094}"/>
            </a:ext>
          </a:extLst>
        </xdr:cNvPr>
        <xdr:cNvSpPr>
          <a:spLocks noChangeShapeType="1"/>
        </xdr:cNvSpPr>
      </xdr:nvSpPr>
      <xdr:spPr bwMode="auto">
        <a:xfrm>
          <a:off x="14251145" y="7330842"/>
          <a:ext cx="1370649" cy="2614"/>
        </a:xfrm>
        <a:prstGeom prst="line">
          <a:avLst/>
        </a:prstGeom>
        <a:noFill/>
        <a:ln w="9525">
          <a:solidFill>
            <a:sysClr val="windowText" lastClr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40</xdr:col>
      <xdr:colOff>4730</xdr:colOff>
      <xdr:row>23</xdr:row>
      <xdr:rowOff>2984</xdr:rowOff>
    </xdr:from>
    <xdr:to>
      <xdr:col>40</xdr:col>
      <xdr:colOff>4730</xdr:colOff>
      <xdr:row>49</xdr:row>
      <xdr:rowOff>6917</xdr:rowOff>
    </xdr:to>
    <xdr:sp macro="" textlink="">
      <xdr:nvSpPr>
        <xdr:cNvPr id="13" name="Line 16">
          <a:extLst>
            <a:ext uri="{FF2B5EF4-FFF2-40B4-BE49-F238E27FC236}">
              <a16:creationId xmlns:a16="http://schemas.microsoft.com/office/drawing/2014/main" id="{AEDF3214-7E06-42A1-8EF8-1FBB1FD0C811}"/>
            </a:ext>
          </a:extLst>
        </xdr:cNvPr>
        <xdr:cNvSpPr>
          <a:spLocks noChangeShapeType="1"/>
        </xdr:cNvSpPr>
      </xdr:nvSpPr>
      <xdr:spPr bwMode="auto">
        <a:xfrm flipH="1">
          <a:off x="16810005" y="5737034"/>
          <a:ext cx="0" cy="5931658"/>
        </a:xfrm>
        <a:prstGeom prst="line">
          <a:avLst/>
        </a:prstGeom>
        <a:noFill/>
        <a:ln w="9525">
          <a:solidFill>
            <a:sysClr val="windowText" lastClr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33</xdr:col>
      <xdr:colOff>2145</xdr:colOff>
      <xdr:row>31</xdr:row>
      <xdr:rowOff>998</xdr:rowOff>
    </xdr:from>
    <xdr:to>
      <xdr:col>35</xdr:col>
      <xdr:colOff>15876</xdr:colOff>
      <xdr:row>31</xdr:row>
      <xdr:rowOff>1906</xdr:rowOff>
    </xdr:to>
    <xdr:sp macro="" textlink="">
      <xdr:nvSpPr>
        <xdr:cNvPr id="14" name="Line 17">
          <a:extLst>
            <a:ext uri="{FF2B5EF4-FFF2-40B4-BE49-F238E27FC236}">
              <a16:creationId xmlns:a16="http://schemas.microsoft.com/office/drawing/2014/main" id="{5936BF22-AF72-4A63-B57D-25D66C6A9A5B}"/>
            </a:ext>
          </a:extLst>
        </xdr:cNvPr>
        <xdr:cNvSpPr>
          <a:spLocks noChangeShapeType="1"/>
        </xdr:cNvSpPr>
      </xdr:nvSpPr>
      <xdr:spPr bwMode="auto">
        <a:xfrm flipV="1">
          <a:off x="14251545" y="7563848"/>
          <a:ext cx="623331" cy="908"/>
        </a:xfrm>
        <a:prstGeom prst="line">
          <a:avLst/>
        </a:prstGeom>
        <a:noFill/>
        <a:ln w="9525">
          <a:solidFill>
            <a:sysClr val="windowText" lastClr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31</xdr:col>
      <xdr:colOff>329465</xdr:colOff>
      <xdr:row>39</xdr:row>
      <xdr:rowOff>10178</xdr:rowOff>
    </xdr:from>
    <xdr:to>
      <xdr:col>31</xdr:col>
      <xdr:colOff>329465</xdr:colOff>
      <xdr:row>40</xdr:row>
      <xdr:rowOff>10630</xdr:rowOff>
    </xdr:to>
    <xdr:sp macro="" textlink="">
      <xdr:nvSpPr>
        <xdr:cNvPr id="15" name="Line 18">
          <a:extLst>
            <a:ext uri="{FF2B5EF4-FFF2-40B4-BE49-F238E27FC236}">
              <a16:creationId xmlns:a16="http://schemas.microsoft.com/office/drawing/2014/main" id="{2A13C2FB-3CE4-4010-84F7-32F1A1173BD4}"/>
            </a:ext>
          </a:extLst>
        </xdr:cNvPr>
        <xdr:cNvSpPr>
          <a:spLocks noChangeShapeType="1"/>
        </xdr:cNvSpPr>
      </xdr:nvSpPr>
      <xdr:spPr bwMode="auto">
        <a:xfrm>
          <a:off x="13848615" y="9398653"/>
          <a:ext cx="0" cy="229052"/>
        </a:xfrm>
        <a:prstGeom prst="line">
          <a:avLst/>
        </a:prstGeom>
        <a:noFill/>
        <a:ln w="9525">
          <a:solidFill>
            <a:sysClr val="windowText" lastClr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32</xdr:col>
      <xdr:colOff>15140</xdr:colOff>
      <xdr:row>40</xdr:row>
      <xdr:rowOff>1105</xdr:rowOff>
    </xdr:from>
    <xdr:to>
      <xdr:col>37</xdr:col>
      <xdr:colOff>11269</xdr:colOff>
      <xdr:row>40</xdr:row>
      <xdr:rowOff>1105</xdr:rowOff>
    </xdr:to>
    <xdr:sp macro="" textlink="">
      <xdr:nvSpPr>
        <xdr:cNvPr id="16" name="Line 19">
          <a:extLst>
            <a:ext uri="{FF2B5EF4-FFF2-40B4-BE49-F238E27FC236}">
              <a16:creationId xmlns:a16="http://schemas.microsoft.com/office/drawing/2014/main" id="{3EA921A0-224A-486D-A14F-B34213AD875A}"/>
            </a:ext>
          </a:extLst>
        </xdr:cNvPr>
        <xdr:cNvSpPr>
          <a:spLocks noChangeShapeType="1"/>
        </xdr:cNvSpPr>
      </xdr:nvSpPr>
      <xdr:spPr bwMode="auto">
        <a:xfrm>
          <a:off x="13861315" y="9621355"/>
          <a:ext cx="1891604" cy="0"/>
        </a:xfrm>
        <a:prstGeom prst="line">
          <a:avLst/>
        </a:prstGeom>
        <a:noFill/>
        <a:ln w="9525">
          <a:solidFill>
            <a:sysClr val="windowText" lastClr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34</xdr:col>
      <xdr:colOff>303770</xdr:colOff>
      <xdr:row>37</xdr:row>
      <xdr:rowOff>138113</xdr:rowOff>
    </xdr:from>
    <xdr:to>
      <xdr:col>35</xdr:col>
      <xdr:colOff>0</xdr:colOff>
      <xdr:row>40</xdr:row>
      <xdr:rowOff>1105</xdr:rowOff>
    </xdr:to>
    <xdr:sp macro="" textlink="">
      <xdr:nvSpPr>
        <xdr:cNvPr id="17" name="Line 20">
          <a:extLst>
            <a:ext uri="{FF2B5EF4-FFF2-40B4-BE49-F238E27FC236}">
              <a16:creationId xmlns:a16="http://schemas.microsoft.com/office/drawing/2014/main" id="{5E176909-A3B9-4275-9E12-524FBD4056B3}"/>
            </a:ext>
          </a:extLst>
        </xdr:cNvPr>
        <xdr:cNvSpPr>
          <a:spLocks noChangeShapeType="1"/>
        </xdr:cNvSpPr>
      </xdr:nvSpPr>
      <xdr:spPr bwMode="auto">
        <a:xfrm flipH="1">
          <a:off x="14857970" y="9072563"/>
          <a:ext cx="1030" cy="548792"/>
        </a:xfrm>
        <a:prstGeom prst="line">
          <a:avLst/>
        </a:prstGeom>
        <a:noFill/>
        <a:ln w="9525">
          <a:solidFill>
            <a:sysClr val="windowText" lastClr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14288</xdr:colOff>
      <xdr:row>48</xdr:row>
      <xdr:rowOff>226430</xdr:rowOff>
    </xdr:from>
    <xdr:to>
      <xdr:col>40</xdr:col>
      <xdr:colOff>16963</xdr:colOff>
      <xdr:row>49</xdr:row>
      <xdr:rowOff>0</xdr:rowOff>
    </xdr:to>
    <xdr:sp macro="" textlink="">
      <xdr:nvSpPr>
        <xdr:cNvPr id="18" name="Line 21">
          <a:extLst>
            <a:ext uri="{FF2B5EF4-FFF2-40B4-BE49-F238E27FC236}">
              <a16:creationId xmlns:a16="http://schemas.microsoft.com/office/drawing/2014/main" id="{4337DC01-FA40-4564-B0F5-D24A9F6D36B8}"/>
            </a:ext>
          </a:extLst>
        </xdr:cNvPr>
        <xdr:cNvSpPr>
          <a:spLocks noChangeShapeType="1"/>
        </xdr:cNvSpPr>
      </xdr:nvSpPr>
      <xdr:spPr bwMode="auto">
        <a:xfrm flipH="1">
          <a:off x="4021138" y="11656430"/>
          <a:ext cx="12797925" cy="2170"/>
        </a:xfrm>
        <a:prstGeom prst="line">
          <a:avLst/>
        </a:prstGeom>
        <a:noFill/>
        <a:ln w="9525">
          <a:solidFill>
            <a:sysClr val="windowText" lastClr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4633</xdr:colOff>
      <xdr:row>21</xdr:row>
      <xdr:rowOff>228598</xdr:rowOff>
    </xdr:from>
    <xdr:to>
      <xdr:col>23</xdr:col>
      <xdr:colOff>4633</xdr:colOff>
      <xdr:row>37</xdr:row>
      <xdr:rowOff>226316</xdr:rowOff>
    </xdr:to>
    <xdr:sp macro="" textlink="">
      <xdr:nvSpPr>
        <xdr:cNvPr id="19" name="Line 22">
          <a:extLst>
            <a:ext uri="{FF2B5EF4-FFF2-40B4-BE49-F238E27FC236}">
              <a16:creationId xmlns:a16="http://schemas.microsoft.com/office/drawing/2014/main" id="{49EAD1F7-0B90-4BE8-9BFB-087899D9C01A}"/>
            </a:ext>
          </a:extLst>
        </xdr:cNvPr>
        <xdr:cNvSpPr>
          <a:spLocks noChangeShapeType="1"/>
        </xdr:cNvSpPr>
      </xdr:nvSpPr>
      <xdr:spPr bwMode="auto">
        <a:xfrm>
          <a:off x="9561383" y="5505448"/>
          <a:ext cx="0" cy="3655318"/>
        </a:xfrm>
        <a:prstGeom prst="line">
          <a:avLst/>
        </a:prstGeom>
        <a:noFill/>
        <a:ln w="9525">
          <a:solidFill>
            <a:sysClr val="windowText" lastClr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40</xdr:col>
      <xdr:colOff>12057</xdr:colOff>
      <xdr:row>11</xdr:row>
      <xdr:rowOff>20778</xdr:rowOff>
    </xdr:from>
    <xdr:to>
      <xdr:col>40</xdr:col>
      <xdr:colOff>12057</xdr:colOff>
      <xdr:row>23</xdr:row>
      <xdr:rowOff>21986</xdr:rowOff>
    </xdr:to>
    <xdr:sp macro="" textlink="">
      <xdr:nvSpPr>
        <xdr:cNvPr id="20" name="Line 26">
          <a:extLst>
            <a:ext uri="{FF2B5EF4-FFF2-40B4-BE49-F238E27FC236}">
              <a16:creationId xmlns:a16="http://schemas.microsoft.com/office/drawing/2014/main" id="{807E3339-FF03-4A57-9226-0A8D6C1273FD}"/>
            </a:ext>
          </a:extLst>
        </xdr:cNvPr>
        <xdr:cNvSpPr>
          <a:spLocks noChangeShapeType="1"/>
        </xdr:cNvSpPr>
      </xdr:nvSpPr>
      <xdr:spPr bwMode="auto">
        <a:xfrm>
          <a:off x="16810982" y="2897328"/>
          <a:ext cx="0" cy="2858708"/>
        </a:xfrm>
        <a:prstGeom prst="line">
          <a:avLst/>
        </a:prstGeom>
        <a:noFill/>
        <a:ln w="9525">
          <a:solidFill>
            <a:sysClr val="windowText" lastClr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32</xdr:col>
      <xdr:colOff>486</xdr:colOff>
      <xdr:row>34</xdr:row>
      <xdr:rowOff>193747</xdr:rowOff>
    </xdr:from>
    <xdr:to>
      <xdr:col>32</xdr:col>
      <xdr:colOff>486</xdr:colOff>
      <xdr:row>35</xdr:row>
      <xdr:rowOff>194197</xdr:rowOff>
    </xdr:to>
    <xdr:sp macro="" textlink="">
      <xdr:nvSpPr>
        <xdr:cNvPr id="21" name="Line 29">
          <a:extLst>
            <a:ext uri="{FF2B5EF4-FFF2-40B4-BE49-F238E27FC236}">
              <a16:creationId xmlns:a16="http://schemas.microsoft.com/office/drawing/2014/main" id="{43255D2C-F261-4D56-91A9-E99A3CE6560C}"/>
            </a:ext>
          </a:extLst>
        </xdr:cNvPr>
        <xdr:cNvSpPr>
          <a:spLocks noChangeShapeType="1"/>
        </xdr:cNvSpPr>
      </xdr:nvSpPr>
      <xdr:spPr bwMode="auto">
        <a:xfrm>
          <a:off x="13849836" y="8445572"/>
          <a:ext cx="0" cy="229050"/>
        </a:xfrm>
        <a:prstGeom prst="line">
          <a:avLst/>
        </a:prstGeom>
        <a:noFill/>
        <a:ln w="9525">
          <a:solidFill>
            <a:sysClr val="windowText" lastClr="000000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667241</xdr:colOff>
      <xdr:row>21</xdr:row>
      <xdr:rowOff>228598</xdr:rowOff>
    </xdr:from>
    <xdr:to>
      <xdr:col>28</xdr:col>
      <xdr:colOff>320449</xdr:colOff>
      <xdr:row>21</xdr:row>
      <xdr:rowOff>228598</xdr:rowOff>
    </xdr:to>
    <xdr:sp macro="" textlink="">
      <xdr:nvSpPr>
        <xdr:cNvPr id="22" name="Line 30">
          <a:extLst>
            <a:ext uri="{FF2B5EF4-FFF2-40B4-BE49-F238E27FC236}">
              <a16:creationId xmlns:a16="http://schemas.microsoft.com/office/drawing/2014/main" id="{95C42143-35A6-430C-BC59-BAE8A2772C71}"/>
            </a:ext>
          </a:extLst>
        </xdr:cNvPr>
        <xdr:cNvSpPr>
          <a:spLocks noChangeShapeType="1"/>
        </xdr:cNvSpPr>
      </xdr:nvSpPr>
      <xdr:spPr bwMode="auto">
        <a:xfrm>
          <a:off x="9554066" y="5505448"/>
          <a:ext cx="3383833" cy="0"/>
        </a:xfrm>
        <a:prstGeom prst="line">
          <a:avLst/>
        </a:prstGeom>
        <a:noFill/>
        <a:ln w="9525">
          <a:solidFill>
            <a:sysClr val="windowText" lastClr="000000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810559</xdr:colOff>
      <xdr:row>30</xdr:row>
      <xdr:rowOff>7360</xdr:rowOff>
    </xdr:from>
    <xdr:to>
      <xdr:col>28</xdr:col>
      <xdr:colOff>181</xdr:colOff>
      <xdr:row>30</xdr:row>
      <xdr:rowOff>7360</xdr:rowOff>
    </xdr:to>
    <xdr:sp macro="" textlink="">
      <xdr:nvSpPr>
        <xdr:cNvPr id="23" name="Line 31">
          <a:extLst>
            <a:ext uri="{FF2B5EF4-FFF2-40B4-BE49-F238E27FC236}">
              <a16:creationId xmlns:a16="http://schemas.microsoft.com/office/drawing/2014/main" id="{18938C93-E932-40D5-9EBA-10A36EF7ECD5}"/>
            </a:ext>
          </a:extLst>
        </xdr:cNvPr>
        <xdr:cNvSpPr>
          <a:spLocks noChangeShapeType="1"/>
        </xdr:cNvSpPr>
      </xdr:nvSpPr>
      <xdr:spPr bwMode="auto">
        <a:xfrm flipV="1">
          <a:off x="10399059" y="7300789"/>
          <a:ext cx="2264836" cy="0"/>
        </a:xfrm>
        <a:prstGeom prst="line">
          <a:avLst/>
        </a:prstGeom>
        <a:noFill/>
        <a:ln w="9525">
          <a:solidFill>
            <a:sysClr val="windowText" lastClr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435430</xdr:colOff>
      <xdr:row>5</xdr:row>
      <xdr:rowOff>2098</xdr:rowOff>
    </xdr:from>
    <xdr:to>
      <xdr:col>42</xdr:col>
      <xdr:colOff>201706</xdr:colOff>
      <xdr:row>5</xdr:row>
      <xdr:rowOff>4947</xdr:rowOff>
    </xdr:to>
    <xdr:sp macro="" textlink="">
      <xdr:nvSpPr>
        <xdr:cNvPr id="24" name="Line 34">
          <a:extLst>
            <a:ext uri="{FF2B5EF4-FFF2-40B4-BE49-F238E27FC236}">
              <a16:creationId xmlns:a16="http://schemas.microsoft.com/office/drawing/2014/main" id="{05D66F59-E588-454C-A10A-932292A616D1}"/>
            </a:ext>
          </a:extLst>
        </xdr:cNvPr>
        <xdr:cNvSpPr>
          <a:spLocks noChangeShapeType="1"/>
        </xdr:cNvSpPr>
      </xdr:nvSpPr>
      <xdr:spPr bwMode="auto">
        <a:xfrm flipV="1">
          <a:off x="4007305" y="1535623"/>
          <a:ext cx="13764851" cy="6024"/>
        </a:xfrm>
        <a:prstGeom prst="line">
          <a:avLst/>
        </a:prstGeom>
        <a:noFill/>
        <a:ln w="9525">
          <a:solidFill>
            <a:sysClr val="windowText" lastClr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35718</xdr:colOff>
      <xdr:row>4</xdr:row>
      <xdr:rowOff>616</xdr:rowOff>
    </xdr:from>
    <xdr:to>
      <xdr:col>10</xdr:col>
      <xdr:colOff>36819</xdr:colOff>
      <xdr:row>4</xdr:row>
      <xdr:rowOff>447674</xdr:rowOff>
    </xdr:to>
    <xdr:sp macro="" textlink="">
      <xdr:nvSpPr>
        <xdr:cNvPr id="25" name="Line 35">
          <a:extLst>
            <a:ext uri="{FF2B5EF4-FFF2-40B4-BE49-F238E27FC236}">
              <a16:creationId xmlns:a16="http://schemas.microsoft.com/office/drawing/2014/main" id="{F78B0A46-B2EC-40F9-AB51-12BB5E28EE46}"/>
            </a:ext>
          </a:extLst>
        </xdr:cNvPr>
        <xdr:cNvSpPr>
          <a:spLocks noChangeShapeType="1"/>
        </xdr:cNvSpPr>
      </xdr:nvSpPr>
      <xdr:spPr bwMode="auto">
        <a:xfrm flipV="1">
          <a:off x="3302793" y="1086466"/>
          <a:ext cx="1101" cy="450233"/>
        </a:xfrm>
        <a:prstGeom prst="line">
          <a:avLst/>
        </a:prstGeom>
        <a:noFill/>
        <a:ln w="9525">
          <a:solidFill>
            <a:sysClr val="windowText" lastClr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33</xdr:col>
      <xdr:colOff>10082</xdr:colOff>
      <xdr:row>46</xdr:row>
      <xdr:rowOff>881</xdr:rowOff>
    </xdr:from>
    <xdr:to>
      <xdr:col>35</xdr:col>
      <xdr:colOff>84</xdr:colOff>
      <xdr:row>46</xdr:row>
      <xdr:rowOff>881</xdr:rowOff>
    </xdr:to>
    <xdr:sp macro="" textlink="">
      <xdr:nvSpPr>
        <xdr:cNvPr id="26" name="Line 41">
          <a:extLst>
            <a:ext uri="{FF2B5EF4-FFF2-40B4-BE49-F238E27FC236}">
              <a16:creationId xmlns:a16="http://schemas.microsoft.com/office/drawing/2014/main" id="{56A3E827-7535-4AA9-A226-63DCF41080B6}"/>
            </a:ext>
          </a:extLst>
        </xdr:cNvPr>
        <xdr:cNvSpPr>
          <a:spLocks noChangeShapeType="1"/>
        </xdr:cNvSpPr>
      </xdr:nvSpPr>
      <xdr:spPr bwMode="auto">
        <a:xfrm flipV="1">
          <a:off x="14256307" y="10992731"/>
          <a:ext cx="602777" cy="0"/>
        </a:xfrm>
        <a:prstGeom prst="line">
          <a:avLst/>
        </a:prstGeom>
        <a:noFill/>
        <a:ln w="9525">
          <a:solidFill>
            <a:sysClr val="windowText" lastClr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3841</xdr:colOff>
      <xdr:row>46</xdr:row>
      <xdr:rowOff>2282</xdr:rowOff>
    </xdr:from>
    <xdr:to>
      <xdr:col>27</xdr:col>
      <xdr:colOff>584254</xdr:colOff>
      <xdr:row>46</xdr:row>
      <xdr:rowOff>2282</xdr:rowOff>
    </xdr:to>
    <xdr:sp macro="" textlink="">
      <xdr:nvSpPr>
        <xdr:cNvPr id="28" name="Line 44">
          <a:extLst>
            <a:ext uri="{FF2B5EF4-FFF2-40B4-BE49-F238E27FC236}">
              <a16:creationId xmlns:a16="http://schemas.microsoft.com/office/drawing/2014/main" id="{3E12D690-ADE8-47EB-B805-58C98FC89940}"/>
            </a:ext>
          </a:extLst>
        </xdr:cNvPr>
        <xdr:cNvSpPr>
          <a:spLocks noChangeShapeType="1"/>
        </xdr:cNvSpPr>
      </xdr:nvSpPr>
      <xdr:spPr bwMode="auto">
        <a:xfrm>
          <a:off x="10370216" y="10994132"/>
          <a:ext cx="2250463" cy="0"/>
        </a:xfrm>
        <a:prstGeom prst="line">
          <a:avLst/>
        </a:prstGeom>
        <a:noFill/>
        <a:ln w="9525">
          <a:solidFill>
            <a:sysClr val="windowText" lastClr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42</xdr:col>
      <xdr:colOff>198878</xdr:colOff>
      <xdr:row>5</xdr:row>
      <xdr:rowOff>102</xdr:rowOff>
    </xdr:from>
    <xdr:to>
      <xdr:col>42</xdr:col>
      <xdr:colOff>199718</xdr:colOff>
      <xdr:row>10</xdr:row>
      <xdr:rowOff>0</xdr:rowOff>
    </xdr:to>
    <xdr:sp macro="" textlink="">
      <xdr:nvSpPr>
        <xdr:cNvPr id="30" name="Line 50">
          <a:extLst>
            <a:ext uri="{FF2B5EF4-FFF2-40B4-BE49-F238E27FC236}">
              <a16:creationId xmlns:a16="http://schemas.microsoft.com/office/drawing/2014/main" id="{DD99784E-3439-41EA-A1F1-2EC7DAC445D3}"/>
            </a:ext>
          </a:extLst>
        </xdr:cNvPr>
        <xdr:cNvSpPr>
          <a:spLocks noChangeShapeType="1"/>
        </xdr:cNvSpPr>
      </xdr:nvSpPr>
      <xdr:spPr bwMode="auto">
        <a:xfrm>
          <a:off x="17775678" y="1533627"/>
          <a:ext cx="840" cy="1114323"/>
        </a:xfrm>
        <a:prstGeom prst="line">
          <a:avLst/>
        </a:prstGeom>
        <a:noFill/>
        <a:ln w="9525">
          <a:solidFill>
            <a:sysClr val="windowText" lastClr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36</xdr:col>
      <xdr:colOff>304389</xdr:colOff>
      <xdr:row>11</xdr:row>
      <xdr:rowOff>9125</xdr:rowOff>
    </xdr:from>
    <xdr:to>
      <xdr:col>37</xdr:col>
      <xdr:colOff>2381</xdr:colOff>
      <xdr:row>40</xdr:row>
      <xdr:rowOff>7144</xdr:rowOff>
    </xdr:to>
    <xdr:sp macro="" textlink="">
      <xdr:nvSpPr>
        <xdr:cNvPr id="31" name="Line 51">
          <a:extLst>
            <a:ext uri="{FF2B5EF4-FFF2-40B4-BE49-F238E27FC236}">
              <a16:creationId xmlns:a16="http://schemas.microsoft.com/office/drawing/2014/main" id="{57D4D4A4-EA07-4F70-8F4C-F79454415FD9}"/>
            </a:ext>
          </a:extLst>
        </xdr:cNvPr>
        <xdr:cNvSpPr>
          <a:spLocks noChangeShapeType="1"/>
        </xdr:cNvSpPr>
      </xdr:nvSpPr>
      <xdr:spPr bwMode="auto">
        <a:xfrm flipH="1" flipV="1">
          <a:off x="15744414" y="2885675"/>
          <a:ext cx="2792" cy="6741719"/>
        </a:xfrm>
        <a:prstGeom prst="line">
          <a:avLst/>
        </a:prstGeom>
        <a:noFill/>
        <a:ln w="9525">
          <a:solidFill>
            <a:sysClr val="windowText" lastClr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24</xdr:row>
      <xdr:rowOff>226024</xdr:rowOff>
    </xdr:from>
    <xdr:to>
      <xdr:col>23</xdr:col>
      <xdr:colOff>10997</xdr:colOff>
      <xdr:row>24</xdr:row>
      <xdr:rowOff>226443</xdr:rowOff>
    </xdr:to>
    <xdr:sp macro="" textlink="">
      <xdr:nvSpPr>
        <xdr:cNvPr id="33" name="Line 54">
          <a:extLst>
            <a:ext uri="{FF2B5EF4-FFF2-40B4-BE49-F238E27FC236}">
              <a16:creationId xmlns:a16="http://schemas.microsoft.com/office/drawing/2014/main" id="{636AC457-66A8-4126-90E3-9DB2F11F9798}"/>
            </a:ext>
          </a:extLst>
        </xdr:cNvPr>
        <xdr:cNvSpPr>
          <a:spLocks noChangeShapeType="1"/>
        </xdr:cNvSpPr>
      </xdr:nvSpPr>
      <xdr:spPr bwMode="auto">
        <a:xfrm flipV="1">
          <a:off x="8943975" y="6188674"/>
          <a:ext cx="617422" cy="419"/>
        </a:xfrm>
        <a:prstGeom prst="line">
          <a:avLst/>
        </a:prstGeom>
        <a:noFill/>
        <a:ln w="9525">
          <a:solidFill>
            <a:sysClr val="windowText" lastClr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31</xdr:col>
      <xdr:colOff>2378</xdr:colOff>
      <xdr:row>12</xdr:row>
      <xdr:rowOff>3877</xdr:rowOff>
    </xdr:from>
    <xdr:to>
      <xdr:col>31</xdr:col>
      <xdr:colOff>2378</xdr:colOff>
      <xdr:row>18</xdr:row>
      <xdr:rowOff>311744</xdr:rowOff>
    </xdr:to>
    <xdr:sp macro="" textlink="">
      <xdr:nvSpPr>
        <xdr:cNvPr id="34" name="Line 60">
          <a:extLst>
            <a:ext uri="{FF2B5EF4-FFF2-40B4-BE49-F238E27FC236}">
              <a16:creationId xmlns:a16="http://schemas.microsoft.com/office/drawing/2014/main" id="{ECDFF092-3D71-4322-919E-84323BA2BDC2}"/>
            </a:ext>
          </a:extLst>
        </xdr:cNvPr>
        <xdr:cNvSpPr>
          <a:spLocks noChangeShapeType="1"/>
        </xdr:cNvSpPr>
      </xdr:nvSpPr>
      <xdr:spPr bwMode="auto">
        <a:xfrm>
          <a:off x="13546928" y="3131252"/>
          <a:ext cx="0" cy="1688992"/>
        </a:xfrm>
        <a:prstGeom prst="line">
          <a:avLst/>
        </a:prstGeom>
        <a:noFill/>
        <a:ln w="9525">
          <a:solidFill>
            <a:sysClr val="windowText" lastClr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37</xdr:col>
      <xdr:colOff>140103</xdr:colOff>
      <xdr:row>30</xdr:row>
      <xdr:rowOff>586</xdr:rowOff>
    </xdr:from>
    <xdr:to>
      <xdr:col>40</xdr:col>
      <xdr:colOff>4440</xdr:colOff>
      <xdr:row>30</xdr:row>
      <xdr:rowOff>586</xdr:rowOff>
    </xdr:to>
    <xdr:sp macro="" textlink="">
      <xdr:nvSpPr>
        <xdr:cNvPr id="35" name="Line 61">
          <a:extLst>
            <a:ext uri="{FF2B5EF4-FFF2-40B4-BE49-F238E27FC236}">
              <a16:creationId xmlns:a16="http://schemas.microsoft.com/office/drawing/2014/main" id="{E4F75FAD-DD5A-48DE-8772-0640B6056379}"/>
            </a:ext>
          </a:extLst>
        </xdr:cNvPr>
        <xdr:cNvSpPr>
          <a:spLocks noChangeShapeType="1"/>
        </xdr:cNvSpPr>
      </xdr:nvSpPr>
      <xdr:spPr bwMode="auto">
        <a:xfrm>
          <a:off x="15884928" y="7334836"/>
          <a:ext cx="921612" cy="0"/>
        </a:xfrm>
        <a:prstGeom prst="line">
          <a:avLst/>
        </a:prstGeom>
        <a:noFill/>
        <a:ln w="9525">
          <a:solidFill>
            <a:sysClr val="windowText" lastClr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44</xdr:col>
      <xdr:colOff>371102</xdr:colOff>
      <xdr:row>10</xdr:row>
      <xdr:rowOff>225136</xdr:rowOff>
    </xdr:from>
    <xdr:to>
      <xdr:col>44</xdr:col>
      <xdr:colOff>374477</xdr:colOff>
      <xdr:row>12</xdr:row>
      <xdr:rowOff>216843</xdr:rowOff>
    </xdr:to>
    <xdr:sp macro="" textlink="">
      <xdr:nvSpPr>
        <xdr:cNvPr id="36" name="Line 62">
          <a:extLst>
            <a:ext uri="{FF2B5EF4-FFF2-40B4-BE49-F238E27FC236}">
              <a16:creationId xmlns:a16="http://schemas.microsoft.com/office/drawing/2014/main" id="{6089436E-CFCA-45EB-A8A8-3B76182E899E}"/>
            </a:ext>
          </a:extLst>
        </xdr:cNvPr>
        <xdr:cNvSpPr>
          <a:spLocks noChangeShapeType="1"/>
        </xdr:cNvSpPr>
      </xdr:nvSpPr>
      <xdr:spPr bwMode="auto">
        <a:xfrm>
          <a:off x="18547977" y="2869911"/>
          <a:ext cx="0" cy="474307"/>
        </a:xfrm>
        <a:prstGeom prst="line">
          <a:avLst/>
        </a:prstGeom>
        <a:noFill/>
        <a:ln w="9525">
          <a:solidFill>
            <a:sysClr val="windowText" lastClr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40</xdr:col>
      <xdr:colOff>12718</xdr:colOff>
      <xdr:row>48</xdr:row>
      <xdr:rowOff>229003</xdr:rowOff>
    </xdr:from>
    <xdr:to>
      <xdr:col>41</xdr:col>
      <xdr:colOff>5284</xdr:colOff>
      <xdr:row>48</xdr:row>
      <xdr:rowOff>229003</xdr:rowOff>
    </xdr:to>
    <xdr:sp macro="" textlink="">
      <xdr:nvSpPr>
        <xdr:cNvPr id="37" name="Line 65">
          <a:extLst>
            <a:ext uri="{FF2B5EF4-FFF2-40B4-BE49-F238E27FC236}">
              <a16:creationId xmlns:a16="http://schemas.microsoft.com/office/drawing/2014/main" id="{B72EF43F-AB00-482A-A745-525C7E622AAD}"/>
            </a:ext>
          </a:extLst>
        </xdr:cNvPr>
        <xdr:cNvSpPr>
          <a:spLocks noChangeShapeType="1"/>
        </xdr:cNvSpPr>
      </xdr:nvSpPr>
      <xdr:spPr bwMode="auto">
        <a:xfrm flipH="1">
          <a:off x="16811643" y="11659003"/>
          <a:ext cx="303716" cy="0"/>
        </a:xfrm>
        <a:prstGeom prst="line">
          <a:avLst/>
        </a:prstGeom>
        <a:noFill/>
        <a:ln w="9525">
          <a:solidFill>
            <a:sysClr val="windowText" lastClr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32</xdr:col>
      <xdr:colOff>398779</xdr:colOff>
      <xdr:row>37</xdr:row>
      <xdr:rowOff>861</xdr:rowOff>
    </xdr:from>
    <xdr:to>
      <xdr:col>36</xdr:col>
      <xdr:colOff>176213</xdr:colOff>
      <xdr:row>37</xdr:row>
      <xdr:rowOff>2380</xdr:rowOff>
    </xdr:to>
    <xdr:sp macro="" textlink="">
      <xdr:nvSpPr>
        <xdr:cNvPr id="38" name="Line 66">
          <a:extLst>
            <a:ext uri="{FF2B5EF4-FFF2-40B4-BE49-F238E27FC236}">
              <a16:creationId xmlns:a16="http://schemas.microsoft.com/office/drawing/2014/main" id="{A471F647-81E6-4E59-9CF3-0F33D4FF7163}"/>
            </a:ext>
          </a:extLst>
        </xdr:cNvPr>
        <xdr:cNvSpPr>
          <a:spLocks noChangeShapeType="1"/>
        </xdr:cNvSpPr>
      </xdr:nvSpPr>
      <xdr:spPr bwMode="auto">
        <a:xfrm>
          <a:off x="14248129" y="8935311"/>
          <a:ext cx="1368109" cy="1519"/>
        </a:xfrm>
        <a:prstGeom prst="line">
          <a:avLst/>
        </a:prstGeom>
        <a:noFill/>
        <a:ln w="9525">
          <a:solidFill>
            <a:sysClr val="windowText" lastClr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37</xdr:col>
      <xdr:colOff>137638</xdr:colOff>
      <xdr:row>37</xdr:row>
      <xdr:rowOff>1270</xdr:rowOff>
    </xdr:from>
    <xdr:to>
      <xdr:col>40</xdr:col>
      <xdr:colOff>8573</xdr:colOff>
      <xdr:row>37</xdr:row>
      <xdr:rowOff>1270</xdr:rowOff>
    </xdr:to>
    <xdr:sp macro="" textlink="">
      <xdr:nvSpPr>
        <xdr:cNvPr id="39" name="Line 67">
          <a:extLst>
            <a:ext uri="{FF2B5EF4-FFF2-40B4-BE49-F238E27FC236}">
              <a16:creationId xmlns:a16="http://schemas.microsoft.com/office/drawing/2014/main" id="{A6B54EEB-852F-49BC-B178-FF09FE623524}"/>
            </a:ext>
          </a:extLst>
        </xdr:cNvPr>
        <xdr:cNvSpPr>
          <a:spLocks noChangeShapeType="1"/>
        </xdr:cNvSpPr>
      </xdr:nvSpPr>
      <xdr:spPr bwMode="auto">
        <a:xfrm flipV="1">
          <a:off x="15882463" y="8935720"/>
          <a:ext cx="928210" cy="0"/>
        </a:xfrm>
        <a:prstGeom prst="line">
          <a:avLst/>
        </a:prstGeom>
        <a:noFill/>
        <a:ln w="9525">
          <a:solidFill>
            <a:sysClr val="windowText" lastClr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1010</xdr:colOff>
      <xdr:row>30</xdr:row>
      <xdr:rowOff>6142</xdr:rowOff>
    </xdr:from>
    <xdr:to>
      <xdr:col>24</xdr:col>
      <xdr:colOff>1010</xdr:colOff>
      <xdr:row>46</xdr:row>
      <xdr:rowOff>3534</xdr:rowOff>
    </xdr:to>
    <xdr:sp macro="" textlink="">
      <xdr:nvSpPr>
        <xdr:cNvPr id="40" name="Line 74">
          <a:extLst>
            <a:ext uri="{FF2B5EF4-FFF2-40B4-BE49-F238E27FC236}">
              <a16:creationId xmlns:a16="http://schemas.microsoft.com/office/drawing/2014/main" id="{7518E161-8E17-44FD-AC50-0368DFDFA1BD}"/>
            </a:ext>
          </a:extLst>
        </xdr:cNvPr>
        <xdr:cNvSpPr>
          <a:spLocks noChangeShapeType="1"/>
        </xdr:cNvSpPr>
      </xdr:nvSpPr>
      <xdr:spPr bwMode="auto">
        <a:xfrm>
          <a:off x="10364210" y="7343567"/>
          <a:ext cx="0" cy="3654992"/>
        </a:xfrm>
        <a:prstGeom prst="line">
          <a:avLst/>
        </a:prstGeom>
        <a:noFill/>
        <a:ln w="9525">
          <a:solidFill>
            <a:sysClr val="windowText" lastClr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31</xdr:col>
      <xdr:colOff>322871</xdr:colOff>
      <xdr:row>27</xdr:row>
      <xdr:rowOff>219893</xdr:rowOff>
    </xdr:from>
    <xdr:to>
      <xdr:col>31</xdr:col>
      <xdr:colOff>322871</xdr:colOff>
      <xdr:row>28</xdr:row>
      <xdr:rowOff>210845</xdr:rowOff>
    </xdr:to>
    <xdr:sp macro="" textlink="">
      <xdr:nvSpPr>
        <xdr:cNvPr id="41" name="Line 75">
          <a:extLst>
            <a:ext uri="{FF2B5EF4-FFF2-40B4-BE49-F238E27FC236}">
              <a16:creationId xmlns:a16="http://schemas.microsoft.com/office/drawing/2014/main" id="{86E97284-EA9D-4526-9088-54B81BC7D393}"/>
            </a:ext>
          </a:extLst>
        </xdr:cNvPr>
        <xdr:cNvSpPr>
          <a:spLocks noChangeShapeType="1"/>
        </xdr:cNvSpPr>
      </xdr:nvSpPr>
      <xdr:spPr bwMode="auto">
        <a:xfrm flipV="1">
          <a:off x="13848371" y="6865168"/>
          <a:ext cx="0" cy="222727"/>
        </a:xfrm>
        <a:prstGeom prst="line">
          <a:avLst/>
        </a:prstGeom>
        <a:noFill/>
        <a:ln w="9525">
          <a:solidFill>
            <a:sysClr val="windowText" lastClr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30</xdr:col>
      <xdr:colOff>43464</xdr:colOff>
      <xdr:row>34</xdr:row>
      <xdr:rowOff>37013</xdr:rowOff>
    </xdr:from>
    <xdr:to>
      <xdr:col>30</xdr:col>
      <xdr:colOff>43464</xdr:colOff>
      <xdr:row>35</xdr:row>
      <xdr:rowOff>173494</xdr:rowOff>
    </xdr:to>
    <xdr:sp macro="" textlink="">
      <xdr:nvSpPr>
        <xdr:cNvPr id="42" name="Line 6">
          <a:extLst>
            <a:ext uri="{FF2B5EF4-FFF2-40B4-BE49-F238E27FC236}">
              <a16:creationId xmlns:a16="http://schemas.microsoft.com/office/drawing/2014/main" id="{0AFBD162-B3BF-4F9C-9E6C-39842A02C18E}"/>
            </a:ext>
          </a:extLst>
        </xdr:cNvPr>
        <xdr:cNvSpPr>
          <a:spLocks noChangeShapeType="1"/>
        </xdr:cNvSpPr>
      </xdr:nvSpPr>
      <xdr:spPr bwMode="auto">
        <a:xfrm flipV="1">
          <a:off x="13286389" y="8285663"/>
          <a:ext cx="0" cy="365081"/>
        </a:xfrm>
        <a:prstGeom prst="line">
          <a:avLst/>
        </a:prstGeom>
        <a:noFill/>
        <a:ln w="9525">
          <a:solidFill>
            <a:sysClr val="windowText" lastClr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29</xdr:col>
      <xdr:colOff>307209</xdr:colOff>
      <xdr:row>34</xdr:row>
      <xdr:rowOff>37013</xdr:rowOff>
    </xdr:from>
    <xdr:to>
      <xdr:col>29</xdr:col>
      <xdr:colOff>307209</xdr:colOff>
      <xdr:row>35</xdr:row>
      <xdr:rowOff>173494</xdr:rowOff>
    </xdr:to>
    <xdr:sp macro="" textlink="">
      <xdr:nvSpPr>
        <xdr:cNvPr id="43" name="Line 22">
          <a:extLst>
            <a:ext uri="{FF2B5EF4-FFF2-40B4-BE49-F238E27FC236}">
              <a16:creationId xmlns:a16="http://schemas.microsoft.com/office/drawing/2014/main" id="{920AECF0-0D2B-4B2F-9325-D733557BB1E4}"/>
            </a:ext>
          </a:extLst>
        </xdr:cNvPr>
        <xdr:cNvSpPr>
          <a:spLocks noChangeShapeType="1"/>
        </xdr:cNvSpPr>
      </xdr:nvSpPr>
      <xdr:spPr bwMode="auto">
        <a:xfrm>
          <a:off x="13242159" y="8285663"/>
          <a:ext cx="0" cy="365081"/>
        </a:xfrm>
        <a:prstGeom prst="line">
          <a:avLst/>
        </a:prstGeom>
        <a:noFill/>
        <a:ln w="9525">
          <a:solidFill>
            <a:sysClr val="windowText" lastClr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154556</xdr:colOff>
      <xdr:row>26</xdr:row>
      <xdr:rowOff>221353</xdr:rowOff>
    </xdr:from>
    <xdr:to>
      <xdr:col>23</xdr:col>
      <xdr:colOff>7883</xdr:colOff>
      <xdr:row>26</xdr:row>
      <xdr:rowOff>226443</xdr:rowOff>
    </xdr:to>
    <xdr:sp macro="" textlink="">
      <xdr:nvSpPr>
        <xdr:cNvPr id="44" name="Line 46">
          <a:extLst>
            <a:ext uri="{FF2B5EF4-FFF2-40B4-BE49-F238E27FC236}">
              <a16:creationId xmlns:a16="http://schemas.microsoft.com/office/drawing/2014/main" id="{5E6A9D57-4B7A-4614-99C7-BB5624855A6A}"/>
            </a:ext>
          </a:extLst>
        </xdr:cNvPr>
        <xdr:cNvSpPr>
          <a:spLocks noChangeShapeType="1"/>
        </xdr:cNvSpPr>
      </xdr:nvSpPr>
      <xdr:spPr bwMode="auto">
        <a:xfrm flipV="1">
          <a:off x="4945811" y="6666004"/>
          <a:ext cx="4626610" cy="5090"/>
        </a:xfrm>
        <a:prstGeom prst="line">
          <a:avLst/>
        </a:prstGeom>
        <a:noFill/>
        <a:ln w="9525">
          <a:solidFill>
            <a:sysClr val="windowText" lastClr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32</xdr:col>
      <xdr:colOff>2261</xdr:colOff>
      <xdr:row>42</xdr:row>
      <xdr:rowOff>219527</xdr:rowOff>
    </xdr:from>
    <xdr:to>
      <xdr:col>32</xdr:col>
      <xdr:colOff>2683</xdr:colOff>
      <xdr:row>44</xdr:row>
      <xdr:rowOff>10732</xdr:rowOff>
    </xdr:to>
    <xdr:sp macro="" textlink="">
      <xdr:nvSpPr>
        <xdr:cNvPr id="45" name="Line 6">
          <a:extLst>
            <a:ext uri="{FF2B5EF4-FFF2-40B4-BE49-F238E27FC236}">
              <a16:creationId xmlns:a16="http://schemas.microsoft.com/office/drawing/2014/main" id="{A827AAB1-7AC7-4C73-A7E8-755A41DC14A5}"/>
            </a:ext>
          </a:extLst>
        </xdr:cNvPr>
        <xdr:cNvSpPr>
          <a:spLocks noChangeShapeType="1"/>
        </xdr:cNvSpPr>
      </xdr:nvSpPr>
      <xdr:spPr bwMode="auto">
        <a:xfrm flipH="1" flipV="1">
          <a:off x="13851611" y="10293802"/>
          <a:ext cx="422" cy="248405"/>
        </a:xfrm>
        <a:prstGeom prst="line">
          <a:avLst/>
        </a:prstGeom>
        <a:noFill/>
        <a:ln w="9525">
          <a:solidFill>
            <a:sysClr val="windowText" lastClr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564146</xdr:colOff>
      <xdr:row>5</xdr:row>
      <xdr:rowOff>95250</xdr:rowOff>
    </xdr:from>
    <xdr:to>
      <xdr:col>14</xdr:col>
      <xdr:colOff>564356</xdr:colOff>
      <xdr:row>11</xdr:row>
      <xdr:rowOff>6636</xdr:rowOff>
    </xdr:to>
    <xdr:sp macro="" textlink="">
      <xdr:nvSpPr>
        <xdr:cNvPr id="46" name="Line 3">
          <a:extLst>
            <a:ext uri="{FF2B5EF4-FFF2-40B4-BE49-F238E27FC236}">
              <a16:creationId xmlns:a16="http://schemas.microsoft.com/office/drawing/2014/main" id="{6A733F0C-D1C3-4D1E-AC9C-9DE7DD762F4B}"/>
            </a:ext>
          </a:extLst>
        </xdr:cNvPr>
        <xdr:cNvSpPr>
          <a:spLocks noChangeShapeType="1"/>
        </xdr:cNvSpPr>
      </xdr:nvSpPr>
      <xdr:spPr bwMode="auto">
        <a:xfrm flipH="1">
          <a:off x="5342521" y="1628775"/>
          <a:ext cx="210" cy="1257586"/>
        </a:xfrm>
        <a:prstGeom prst="line">
          <a:avLst/>
        </a:prstGeom>
        <a:noFill/>
        <a:ln w="9525">
          <a:solidFill>
            <a:sysClr val="windowText" lastClr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30</xdr:col>
      <xdr:colOff>302419</xdr:colOff>
      <xdr:row>5</xdr:row>
      <xdr:rowOff>109538</xdr:rowOff>
    </xdr:from>
    <xdr:to>
      <xdr:col>31</xdr:col>
      <xdr:colOff>1588</xdr:colOff>
      <xdr:row>10</xdr:row>
      <xdr:rowOff>2383</xdr:rowOff>
    </xdr:to>
    <xdr:sp macro="" textlink="">
      <xdr:nvSpPr>
        <xdr:cNvPr id="47" name="Line 2">
          <a:extLst>
            <a:ext uri="{FF2B5EF4-FFF2-40B4-BE49-F238E27FC236}">
              <a16:creationId xmlns:a16="http://schemas.microsoft.com/office/drawing/2014/main" id="{AAE26B7F-A640-472A-A7FA-E6619073611A}"/>
            </a:ext>
          </a:extLst>
        </xdr:cNvPr>
        <xdr:cNvSpPr>
          <a:spLocks noChangeShapeType="1"/>
        </xdr:cNvSpPr>
      </xdr:nvSpPr>
      <xdr:spPr bwMode="auto">
        <a:xfrm>
          <a:off x="13542169" y="1639888"/>
          <a:ext cx="3969" cy="1010445"/>
        </a:xfrm>
        <a:prstGeom prst="line">
          <a:avLst/>
        </a:prstGeom>
        <a:noFill/>
        <a:ln w="9525">
          <a:solidFill>
            <a:sysClr val="windowText" lastClr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30</xdr:col>
      <xdr:colOff>33865</xdr:colOff>
      <xdr:row>12</xdr:row>
      <xdr:rowOff>16091</xdr:rowOff>
    </xdr:from>
    <xdr:to>
      <xdr:col>30</xdr:col>
      <xdr:colOff>33865</xdr:colOff>
      <xdr:row>13</xdr:row>
      <xdr:rowOff>73549</xdr:rowOff>
    </xdr:to>
    <xdr:sp macro="" textlink="">
      <xdr:nvSpPr>
        <xdr:cNvPr id="48" name="Line 96">
          <a:extLst>
            <a:ext uri="{FF2B5EF4-FFF2-40B4-BE49-F238E27FC236}">
              <a16:creationId xmlns:a16="http://schemas.microsoft.com/office/drawing/2014/main" id="{C700B816-49F7-4183-A4AE-5106FDF68ED8}"/>
            </a:ext>
          </a:extLst>
        </xdr:cNvPr>
        <xdr:cNvSpPr>
          <a:spLocks noChangeShapeType="1"/>
        </xdr:cNvSpPr>
      </xdr:nvSpPr>
      <xdr:spPr bwMode="auto">
        <a:xfrm>
          <a:off x="13270440" y="3140291"/>
          <a:ext cx="0" cy="286058"/>
        </a:xfrm>
        <a:prstGeom prst="line">
          <a:avLst/>
        </a:prstGeom>
        <a:noFill/>
        <a:ln w="9525">
          <a:solidFill>
            <a:sysClr val="windowText" lastClr="000000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4762</xdr:colOff>
      <xdr:row>13</xdr:row>
      <xdr:rowOff>71438</xdr:rowOff>
    </xdr:from>
    <xdr:to>
      <xdr:col>30</xdr:col>
      <xdr:colOff>30689</xdr:colOff>
      <xdr:row>13</xdr:row>
      <xdr:rowOff>73549</xdr:rowOff>
    </xdr:to>
    <xdr:sp macro="" textlink="">
      <xdr:nvSpPr>
        <xdr:cNvPr id="49" name="Line 97">
          <a:extLst>
            <a:ext uri="{FF2B5EF4-FFF2-40B4-BE49-F238E27FC236}">
              <a16:creationId xmlns:a16="http://schemas.microsoft.com/office/drawing/2014/main" id="{12D7DC34-FAA9-4FC4-8F92-94735E98CF89}"/>
            </a:ext>
          </a:extLst>
        </xdr:cNvPr>
        <xdr:cNvSpPr>
          <a:spLocks noChangeShapeType="1"/>
        </xdr:cNvSpPr>
      </xdr:nvSpPr>
      <xdr:spPr bwMode="auto">
        <a:xfrm flipH="1" flipV="1">
          <a:off x="12634912" y="3424238"/>
          <a:ext cx="635527" cy="2111"/>
        </a:xfrm>
        <a:prstGeom prst="line">
          <a:avLst/>
        </a:prstGeom>
        <a:noFill/>
        <a:ln w="9525">
          <a:solidFill>
            <a:sysClr val="windowText" lastClr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8858</xdr:colOff>
      <xdr:row>11</xdr:row>
      <xdr:rowOff>126852</xdr:rowOff>
    </xdr:from>
    <xdr:to>
      <xdr:col>28</xdr:col>
      <xdr:colOff>297655</xdr:colOff>
      <xdr:row>11</xdr:row>
      <xdr:rowOff>128587</xdr:rowOff>
    </xdr:to>
    <xdr:sp macro="" textlink="">
      <xdr:nvSpPr>
        <xdr:cNvPr id="50" name="Line 98">
          <a:extLst>
            <a:ext uri="{FF2B5EF4-FFF2-40B4-BE49-F238E27FC236}">
              <a16:creationId xmlns:a16="http://schemas.microsoft.com/office/drawing/2014/main" id="{86B509AD-EF76-47CA-85F3-BCAB023BE014}"/>
            </a:ext>
          </a:extLst>
        </xdr:cNvPr>
        <xdr:cNvSpPr>
          <a:spLocks noChangeShapeType="1"/>
        </xdr:cNvSpPr>
      </xdr:nvSpPr>
      <xdr:spPr bwMode="auto">
        <a:xfrm flipH="1" flipV="1">
          <a:off x="12639008" y="3003402"/>
          <a:ext cx="288797" cy="1735"/>
        </a:xfrm>
        <a:prstGeom prst="line">
          <a:avLst/>
        </a:prstGeom>
        <a:noFill/>
        <a:ln w="9525">
          <a:solidFill>
            <a:sysClr val="windowText" lastClr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7144</xdr:colOff>
      <xdr:row>11</xdr:row>
      <xdr:rowOff>122743</xdr:rowOff>
    </xdr:from>
    <xdr:to>
      <xdr:col>28</xdr:col>
      <xdr:colOff>7328</xdr:colOff>
      <xdr:row>13</xdr:row>
      <xdr:rowOff>61913</xdr:rowOff>
    </xdr:to>
    <xdr:sp macro="" textlink="">
      <xdr:nvSpPr>
        <xdr:cNvPr id="51" name="Line 99">
          <a:extLst>
            <a:ext uri="{FF2B5EF4-FFF2-40B4-BE49-F238E27FC236}">
              <a16:creationId xmlns:a16="http://schemas.microsoft.com/office/drawing/2014/main" id="{481FEC96-C0AC-48EF-BDF5-9190BFB026CD}"/>
            </a:ext>
          </a:extLst>
        </xdr:cNvPr>
        <xdr:cNvSpPr>
          <a:spLocks noChangeShapeType="1"/>
        </xdr:cNvSpPr>
      </xdr:nvSpPr>
      <xdr:spPr bwMode="auto">
        <a:xfrm flipH="1">
          <a:off x="12637294" y="2999293"/>
          <a:ext cx="184" cy="415420"/>
        </a:xfrm>
        <a:prstGeom prst="line">
          <a:avLst/>
        </a:prstGeom>
        <a:noFill/>
        <a:ln w="9525">
          <a:solidFill>
            <a:sysClr val="windowText" lastClr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161745</xdr:colOff>
      <xdr:row>29</xdr:row>
      <xdr:rowOff>226444</xdr:rowOff>
    </xdr:from>
    <xdr:to>
      <xdr:col>23</xdr:col>
      <xdr:colOff>11058</xdr:colOff>
      <xdr:row>30</xdr:row>
      <xdr:rowOff>9317</xdr:rowOff>
    </xdr:to>
    <xdr:sp macro="" textlink="">
      <xdr:nvSpPr>
        <xdr:cNvPr id="52" name="Line 80">
          <a:extLst>
            <a:ext uri="{FF2B5EF4-FFF2-40B4-BE49-F238E27FC236}">
              <a16:creationId xmlns:a16="http://schemas.microsoft.com/office/drawing/2014/main" id="{ACB77BCF-DDB0-431B-9B2F-3E86026CF082}"/>
            </a:ext>
          </a:extLst>
        </xdr:cNvPr>
        <xdr:cNvSpPr>
          <a:spLocks noChangeShapeType="1"/>
        </xdr:cNvSpPr>
      </xdr:nvSpPr>
      <xdr:spPr bwMode="auto">
        <a:xfrm>
          <a:off x="4953000" y="7361208"/>
          <a:ext cx="4622596" cy="12911"/>
        </a:xfrm>
        <a:prstGeom prst="line">
          <a:avLst/>
        </a:prstGeom>
        <a:noFill/>
        <a:ln w="9525">
          <a:solidFill>
            <a:sysClr val="windowText" lastClr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30</xdr:col>
      <xdr:colOff>199021</xdr:colOff>
      <xdr:row>13</xdr:row>
      <xdr:rowOff>137645</xdr:rowOff>
    </xdr:from>
    <xdr:to>
      <xdr:col>31</xdr:col>
      <xdr:colOff>165660</xdr:colOff>
      <xdr:row>14</xdr:row>
      <xdr:rowOff>25014</xdr:rowOff>
    </xdr:to>
    <xdr:sp macro="" textlink="">
      <xdr:nvSpPr>
        <xdr:cNvPr id="53" name="Arc 7405">
          <a:extLst>
            <a:ext uri="{FF2B5EF4-FFF2-40B4-BE49-F238E27FC236}">
              <a16:creationId xmlns:a16="http://schemas.microsoft.com/office/drawing/2014/main" id="{2B4A4B5E-4217-4914-A091-13D45841896E}"/>
            </a:ext>
          </a:extLst>
        </xdr:cNvPr>
        <xdr:cNvSpPr>
          <a:spLocks/>
        </xdr:cNvSpPr>
      </xdr:nvSpPr>
      <xdr:spPr bwMode="auto">
        <a:xfrm>
          <a:off x="13441946" y="3493620"/>
          <a:ext cx="265089" cy="144544"/>
        </a:xfrm>
        <a:custGeom>
          <a:avLst/>
          <a:gdLst>
            <a:gd name="T0" fmla="*/ 2147483647 w 43200"/>
            <a:gd name="T1" fmla="*/ 2147483647 h 22298"/>
            <a:gd name="T2" fmla="*/ 2147483647 w 43200"/>
            <a:gd name="T3" fmla="*/ 2147483647 h 22298"/>
            <a:gd name="T4" fmla="*/ 2147483647 w 43200"/>
            <a:gd name="T5" fmla="*/ 2147483647 h 22298"/>
            <a:gd name="T6" fmla="*/ 0 60000 65536"/>
            <a:gd name="T7" fmla="*/ 0 60000 65536"/>
            <a:gd name="T8" fmla="*/ 0 60000 6553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0" t="0" r="r" b="b"/>
          <a:pathLst>
            <a:path w="43200" h="22298" fill="none" extrusionOk="0">
              <a:moveTo>
                <a:pt x="11" y="22297"/>
              </a:moveTo>
              <a:cubicBezTo>
                <a:pt x="3" y="22065"/>
                <a:pt x="0" y="21832"/>
                <a:pt x="0" y="21600"/>
              </a:cubicBezTo>
              <a:cubicBezTo>
                <a:pt x="0" y="9670"/>
                <a:pt x="9670" y="0"/>
                <a:pt x="21600" y="0"/>
              </a:cubicBezTo>
              <a:cubicBezTo>
                <a:pt x="33529" y="-1"/>
                <a:pt x="43199" y="9670"/>
                <a:pt x="43200" y="21599"/>
              </a:cubicBezTo>
            </a:path>
            <a:path w="43200" h="22298" stroke="0" extrusionOk="0">
              <a:moveTo>
                <a:pt x="11" y="22297"/>
              </a:moveTo>
              <a:cubicBezTo>
                <a:pt x="3" y="22065"/>
                <a:pt x="0" y="21832"/>
                <a:pt x="0" y="21600"/>
              </a:cubicBezTo>
              <a:cubicBezTo>
                <a:pt x="0" y="9670"/>
                <a:pt x="9670" y="0"/>
                <a:pt x="21600" y="0"/>
              </a:cubicBezTo>
              <a:cubicBezTo>
                <a:pt x="33529" y="-1"/>
                <a:pt x="43199" y="9670"/>
                <a:pt x="43200" y="21599"/>
              </a:cubicBezTo>
              <a:lnTo>
                <a:pt x="21600" y="21600"/>
              </a:lnTo>
              <a:lnTo>
                <a:pt x="11" y="22297"/>
              </a:lnTo>
              <a:close/>
            </a:path>
          </a:pathLst>
        </a:custGeom>
        <a:noFill/>
        <a:ln w="9525">
          <a:solidFill>
            <a:sysClr val="windowText" lastClr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/>
  </xdr:twoCellAnchor>
  <xdr:twoCellAnchor>
    <xdr:from>
      <xdr:col>36</xdr:col>
      <xdr:colOff>179020</xdr:colOff>
      <xdr:row>29</xdr:row>
      <xdr:rowOff>90405</xdr:rowOff>
    </xdr:from>
    <xdr:to>
      <xdr:col>37</xdr:col>
      <xdr:colOff>139310</xdr:colOff>
      <xdr:row>30</xdr:row>
      <xdr:rowOff>5347</xdr:rowOff>
    </xdr:to>
    <xdr:sp macro="" textlink="">
      <xdr:nvSpPr>
        <xdr:cNvPr id="54" name="Arc 7406">
          <a:extLst>
            <a:ext uri="{FF2B5EF4-FFF2-40B4-BE49-F238E27FC236}">
              <a16:creationId xmlns:a16="http://schemas.microsoft.com/office/drawing/2014/main" id="{C17E3491-08FE-4EDF-90B9-7B50F374B911}"/>
            </a:ext>
          </a:extLst>
        </xdr:cNvPr>
        <xdr:cNvSpPr>
          <a:spLocks/>
        </xdr:cNvSpPr>
      </xdr:nvSpPr>
      <xdr:spPr bwMode="auto">
        <a:xfrm>
          <a:off x="15619045" y="7196055"/>
          <a:ext cx="265090" cy="143542"/>
        </a:xfrm>
        <a:custGeom>
          <a:avLst/>
          <a:gdLst>
            <a:gd name="T0" fmla="*/ 2147483647 w 43200"/>
            <a:gd name="T1" fmla="*/ 2147483647 h 22298"/>
            <a:gd name="T2" fmla="*/ 2147483647 w 43200"/>
            <a:gd name="T3" fmla="*/ 2147483647 h 22298"/>
            <a:gd name="T4" fmla="*/ 2147483647 w 43200"/>
            <a:gd name="T5" fmla="*/ 2147483647 h 22298"/>
            <a:gd name="T6" fmla="*/ 0 60000 65536"/>
            <a:gd name="T7" fmla="*/ 0 60000 65536"/>
            <a:gd name="T8" fmla="*/ 0 60000 6553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0" t="0" r="r" b="b"/>
          <a:pathLst>
            <a:path w="43200" h="22298" fill="none" extrusionOk="0">
              <a:moveTo>
                <a:pt x="11" y="22297"/>
              </a:moveTo>
              <a:cubicBezTo>
                <a:pt x="3" y="22065"/>
                <a:pt x="0" y="21832"/>
                <a:pt x="0" y="21600"/>
              </a:cubicBezTo>
              <a:cubicBezTo>
                <a:pt x="0" y="9670"/>
                <a:pt x="9670" y="0"/>
                <a:pt x="21600" y="0"/>
              </a:cubicBezTo>
              <a:cubicBezTo>
                <a:pt x="33529" y="-1"/>
                <a:pt x="43199" y="9670"/>
                <a:pt x="43200" y="21599"/>
              </a:cubicBezTo>
            </a:path>
            <a:path w="43200" h="22298" stroke="0" extrusionOk="0">
              <a:moveTo>
                <a:pt x="11" y="22297"/>
              </a:moveTo>
              <a:cubicBezTo>
                <a:pt x="3" y="22065"/>
                <a:pt x="0" y="21832"/>
                <a:pt x="0" y="21600"/>
              </a:cubicBezTo>
              <a:cubicBezTo>
                <a:pt x="0" y="9670"/>
                <a:pt x="9670" y="0"/>
                <a:pt x="21600" y="0"/>
              </a:cubicBezTo>
              <a:cubicBezTo>
                <a:pt x="33529" y="-1"/>
                <a:pt x="43199" y="9670"/>
                <a:pt x="43200" y="21599"/>
              </a:cubicBezTo>
              <a:lnTo>
                <a:pt x="21600" y="21600"/>
              </a:lnTo>
              <a:lnTo>
                <a:pt x="11" y="22297"/>
              </a:lnTo>
              <a:close/>
            </a:path>
          </a:pathLst>
        </a:custGeom>
        <a:noFill/>
        <a:ln w="9525">
          <a:solidFill>
            <a:sysClr val="windowText" lastClr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/>
  </xdr:twoCellAnchor>
  <xdr:twoCellAnchor>
    <xdr:from>
      <xdr:col>36</xdr:col>
      <xdr:colOff>182194</xdr:colOff>
      <xdr:row>36</xdr:row>
      <xdr:rowOff>92745</xdr:rowOff>
    </xdr:from>
    <xdr:to>
      <xdr:col>37</xdr:col>
      <xdr:colOff>142484</xdr:colOff>
      <xdr:row>37</xdr:row>
      <xdr:rowOff>4513</xdr:rowOff>
    </xdr:to>
    <xdr:sp macro="" textlink="">
      <xdr:nvSpPr>
        <xdr:cNvPr id="55" name="Arc 7407">
          <a:extLst>
            <a:ext uri="{FF2B5EF4-FFF2-40B4-BE49-F238E27FC236}">
              <a16:creationId xmlns:a16="http://schemas.microsoft.com/office/drawing/2014/main" id="{4D3969AA-37EE-4DD6-A35C-16885989593F}"/>
            </a:ext>
          </a:extLst>
        </xdr:cNvPr>
        <xdr:cNvSpPr>
          <a:spLocks/>
        </xdr:cNvSpPr>
      </xdr:nvSpPr>
      <xdr:spPr bwMode="auto">
        <a:xfrm>
          <a:off x="15622219" y="8798595"/>
          <a:ext cx="265090" cy="140368"/>
        </a:xfrm>
        <a:custGeom>
          <a:avLst/>
          <a:gdLst>
            <a:gd name="T0" fmla="*/ 2147483647 w 43200"/>
            <a:gd name="T1" fmla="*/ 2147483647 h 22298"/>
            <a:gd name="T2" fmla="*/ 2147483647 w 43200"/>
            <a:gd name="T3" fmla="*/ 2147483647 h 22298"/>
            <a:gd name="T4" fmla="*/ 2147483647 w 43200"/>
            <a:gd name="T5" fmla="*/ 2147483647 h 22298"/>
            <a:gd name="T6" fmla="*/ 0 60000 65536"/>
            <a:gd name="T7" fmla="*/ 0 60000 65536"/>
            <a:gd name="T8" fmla="*/ 0 60000 6553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0" t="0" r="r" b="b"/>
          <a:pathLst>
            <a:path w="43200" h="22298" fill="none" extrusionOk="0">
              <a:moveTo>
                <a:pt x="11" y="22297"/>
              </a:moveTo>
              <a:cubicBezTo>
                <a:pt x="3" y="22065"/>
                <a:pt x="0" y="21832"/>
                <a:pt x="0" y="21600"/>
              </a:cubicBezTo>
              <a:cubicBezTo>
                <a:pt x="0" y="9670"/>
                <a:pt x="9670" y="0"/>
                <a:pt x="21600" y="0"/>
              </a:cubicBezTo>
              <a:cubicBezTo>
                <a:pt x="33529" y="-1"/>
                <a:pt x="43199" y="9670"/>
                <a:pt x="43200" y="21599"/>
              </a:cubicBezTo>
            </a:path>
            <a:path w="43200" h="22298" stroke="0" extrusionOk="0">
              <a:moveTo>
                <a:pt x="11" y="22297"/>
              </a:moveTo>
              <a:cubicBezTo>
                <a:pt x="3" y="22065"/>
                <a:pt x="0" y="21832"/>
                <a:pt x="0" y="21600"/>
              </a:cubicBezTo>
              <a:cubicBezTo>
                <a:pt x="0" y="9670"/>
                <a:pt x="9670" y="0"/>
                <a:pt x="21600" y="0"/>
              </a:cubicBezTo>
              <a:cubicBezTo>
                <a:pt x="33529" y="-1"/>
                <a:pt x="43199" y="9670"/>
                <a:pt x="43200" y="21599"/>
              </a:cubicBezTo>
              <a:lnTo>
                <a:pt x="21600" y="21600"/>
              </a:lnTo>
              <a:lnTo>
                <a:pt x="11" y="22297"/>
              </a:lnTo>
              <a:close/>
            </a:path>
          </a:pathLst>
        </a:custGeom>
        <a:noFill/>
        <a:ln w="9525">
          <a:solidFill>
            <a:sysClr val="windowText" lastClr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/>
  </xdr:twoCellAnchor>
  <xdr:twoCellAnchor>
    <xdr:from>
      <xdr:col>35</xdr:col>
      <xdr:colOff>84</xdr:colOff>
      <xdr:row>36</xdr:row>
      <xdr:rowOff>84856</xdr:rowOff>
    </xdr:from>
    <xdr:to>
      <xdr:col>35</xdr:col>
      <xdr:colOff>149311</xdr:colOff>
      <xdr:row>37</xdr:row>
      <xdr:rowOff>142313</xdr:rowOff>
    </xdr:to>
    <xdr:sp macro="" textlink="">
      <xdr:nvSpPr>
        <xdr:cNvPr id="56" name="Arc 7408">
          <a:extLst>
            <a:ext uri="{FF2B5EF4-FFF2-40B4-BE49-F238E27FC236}">
              <a16:creationId xmlns:a16="http://schemas.microsoft.com/office/drawing/2014/main" id="{7EECD8A8-3FEB-4C82-B79E-2430C7F7DCF2}"/>
            </a:ext>
          </a:extLst>
        </xdr:cNvPr>
        <xdr:cNvSpPr>
          <a:spLocks/>
        </xdr:cNvSpPr>
      </xdr:nvSpPr>
      <xdr:spPr bwMode="auto">
        <a:xfrm>
          <a:off x="14859084" y="8793881"/>
          <a:ext cx="149227" cy="286057"/>
        </a:xfrm>
        <a:custGeom>
          <a:avLst/>
          <a:gdLst>
            <a:gd name="T0" fmla="*/ 0 w 21600"/>
            <a:gd name="T1" fmla="*/ 0 h 43162"/>
            <a:gd name="T2" fmla="*/ 2147483647 w 21600"/>
            <a:gd name="T3" fmla="*/ 2147483647 h 43162"/>
            <a:gd name="T4" fmla="*/ 0 w 21600"/>
            <a:gd name="T5" fmla="*/ 2147483647 h 43162"/>
            <a:gd name="T6" fmla="*/ 0 60000 65536"/>
            <a:gd name="T7" fmla="*/ 0 60000 65536"/>
            <a:gd name="T8" fmla="*/ 0 60000 6553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0" t="0" r="r" b="b"/>
          <a:pathLst>
            <a:path w="21600" h="43162" fill="none" extrusionOk="0">
              <a:moveTo>
                <a:pt x="0" y="0"/>
              </a:moveTo>
              <a:cubicBezTo>
                <a:pt x="11929" y="0"/>
                <a:pt x="21600" y="9670"/>
                <a:pt x="21600" y="21600"/>
              </a:cubicBezTo>
              <a:cubicBezTo>
                <a:pt x="21600" y="33029"/>
                <a:pt x="12695" y="42481"/>
                <a:pt x="1285" y="43161"/>
              </a:cubicBezTo>
            </a:path>
            <a:path w="21600" h="43162" stroke="0" extrusionOk="0">
              <a:moveTo>
                <a:pt x="0" y="0"/>
              </a:moveTo>
              <a:cubicBezTo>
                <a:pt x="11929" y="0"/>
                <a:pt x="21600" y="9670"/>
                <a:pt x="21600" y="21600"/>
              </a:cubicBezTo>
              <a:cubicBezTo>
                <a:pt x="21600" y="33029"/>
                <a:pt x="12695" y="42481"/>
                <a:pt x="1285" y="43161"/>
              </a:cubicBezTo>
              <a:lnTo>
                <a:pt x="0" y="21600"/>
              </a:lnTo>
              <a:lnTo>
                <a:pt x="0" y="0"/>
              </a:lnTo>
              <a:close/>
            </a:path>
          </a:pathLst>
        </a:custGeom>
        <a:noFill/>
        <a:ln w="9525">
          <a:solidFill>
            <a:sysClr val="windowText" lastClr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/>
  </xdr:twoCellAnchor>
  <xdr:twoCellAnchor>
    <xdr:from>
      <xdr:col>21</xdr:col>
      <xdr:colOff>942294</xdr:colOff>
      <xdr:row>11</xdr:row>
      <xdr:rowOff>237647</xdr:rowOff>
    </xdr:from>
    <xdr:to>
      <xdr:col>22</xdr:col>
      <xdr:colOff>6769</xdr:colOff>
      <xdr:row>19</xdr:row>
      <xdr:rowOff>71437</xdr:rowOff>
    </xdr:to>
    <xdr:sp macro="" textlink="">
      <xdr:nvSpPr>
        <xdr:cNvPr id="57" name="Line 7412">
          <a:extLst>
            <a:ext uri="{FF2B5EF4-FFF2-40B4-BE49-F238E27FC236}">
              <a16:creationId xmlns:a16="http://schemas.microsoft.com/office/drawing/2014/main" id="{42E415CC-99D9-4891-9D5E-D5948EA80F39}"/>
            </a:ext>
          </a:extLst>
        </xdr:cNvPr>
        <xdr:cNvSpPr>
          <a:spLocks noChangeShapeType="1"/>
        </xdr:cNvSpPr>
      </xdr:nvSpPr>
      <xdr:spPr bwMode="auto">
        <a:xfrm flipH="1">
          <a:off x="8946696" y="3108754"/>
          <a:ext cx="6769" cy="1776210"/>
        </a:xfrm>
        <a:prstGeom prst="line">
          <a:avLst/>
        </a:prstGeom>
        <a:noFill/>
        <a:ln w="9525">
          <a:solidFill>
            <a:sysClr val="windowText" lastClr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4246</xdr:colOff>
      <xdr:row>20</xdr:row>
      <xdr:rowOff>202711</xdr:rowOff>
    </xdr:from>
    <xdr:to>
      <xdr:col>22</xdr:col>
      <xdr:colOff>4246</xdr:colOff>
      <xdr:row>24</xdr:row>
      <xdr:rowOff>225730</xdr:rowOff>
    </xdr:to>
    <xdr:sp macro="" textlink="">
      <xdr:nvSpPr>
        <xdr:cNvPr id="58" name="Line 7414">
          <a:extLst>
            <a:ext uri="{FF2B5EF4-FFF2-40B4-BE49-F238E27FC236}">
              <a16:creationId xmlns:a16="http://schemas.microsoft.com/office/drawing/2014/main" id="{950210A3-C2B5-4D27-9C7E-91CB73A3BDC9}"/>
            </a:ext>
          </a:extLst>
        </xdr:cNvPr>
        <xdr:cNvSpPr>
          <a:spLocks noChangeShapeType="1"/>
        </xdr:cNvSpPr>
      </xdr:nvSpPr>
      <xdr:spPr bwMode="auto">
        <a:xfrm>
          <a:off x="8951396" y="5247786"/>
          <a:ext cx="0" cy="940594"/>
        </a:xfrm>
        <a:prstGeom prst="line">
          <a:avLst/>
        </a:prstGeom>
        <a:noFill/>
        <a:ln w="9525">
          <a:solidFill>
            <a:sysClr val="windowText" lastClr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5277</xdr:colOff>
      <xdr:row>26</xdr:row>
      <xdr:rowOff>72063</xdr:rowOff>
    </xdr:from>
    <xdr:to>
      <xdr:col>12</xdr:col>
      <xdr:colOff>158867</xdr:colOff>
      <xdr:row>27</xdr:row>
      <xdr:rowOff>129519</xdr:rowOff>
    </xdr:to>
    <xdr:sp macro="" textlink="">
      <xdr:nvSpPr>
        <xdr:cNvPr id="59" name="Arc 7416">
          <a:extLst>
            <a:ext uri="{FF2B5EF4-FFF2-40B4-BE49-F238E27FC236}">
              <a16:creationId xmlns:a16="http://schemas.microsoft.com/office/drawing/2014/main" id="{2B298F8F-8F32-4E33-B5E3-E77978C299DB}"/>
            </a:ext>
          </a:extLst>
        </xdr:cNvPr>
        <xdr:cNvSpPr>
          <a:spLocks/>
        </xdr:cNvSpPr>
      </xdr:nvSpPr>
      <xdr:spPr bwMode="auto">
        <a:xfrm>
          <a:off x="4018477" y="6488738"/>
          <a:ext cx="153590" cy="286056"/>
        </a:xfrm>
        <a:custGeom>
          <a:avLst/>
          <a:gdLst>
            <a:gd name="T0" fmla="*/ 2147483647 w 21666"/>
            <a:gd name="T1" fmla="*/ 0 h 43200"/>
            <a:gd name="T2" fmla="*/ 0 w 21666"/>
            <a:gd name="T3" fmla="*/ 2147483647 h 43200"/>
            <a:gd name="T4" fmla="*/ 2147483647 w 21666"/>
            <a:gd name="T5" fmla="*/ 2147483647 h 43200"/>
            <a:gd name="T6" fmla="*/ 0 60000 65536"/>
            <a:gd name="T7" fmla="*/ 0 60000 65536"/>
            <a:gd name="T8" fmla="*/ 0 60000 6553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0" t="0" r="r" b="b"/>
          <a:pathLst>
            <a:path w="21666" h="43200" fill="none" extrusionOk="0">
              <a:moveTo>
                <a:pt x="66" y="0"/>
              </a:moveTo>
              <a:cubicBezTo>
                <a:pt x="11995" y="0"/>
                <a:pt x="21666" y="9670"/>
                <a:pt x="21666" y="21600"/>
              </a:cubicBezTo>
              <a:cubicBezTo>
                <a:pt x="21666" y="33529"/>
                <a:pt x="11995" y="43200"/>
                <a:pt x="66" y="43200"/>
              </a:cubicBezTo>
              <a:cubicBezTo>
                <a:pt x="44" y="43200"/>
                <a:pt x="22" y="43199"/>
                <a:pt x="0" y="43199"/>
              </a:cubicBezTo>
            </a:path>
            <a:path w="21666" h="43200" stroke="0" extrusionOk="0">
              <a:moveTo>
                <a:pt x="66" y="0"/>
              </a:moveTo>
              <a:cubicBezTo>
                <a:pt x="11995" y="0"/>
                <a:pt x="21666" y="9670"/>
                <a:pt x="21666" y="21600"/>
              </a:cubicBezTo>
              <a:cubicBezTo>
                <a:pt x="21666" y="33529"/>
                <a:pt x="11995" y="43200"/>
                <a:pt x="66" y="43200"/>
              </a:cubicBezTo>
              <a:cubicBezTo>
                <a:pt x="44" y="43200"/>
                <a:pt x="22" y="43199"/>
                <a:pt x="0" y="43199"/>
              </a:cubicBezTo>
              <a:lnTo>
                <a:pt x="66" y="21600"/>
              </a:lnTo>
              <a:lnTo>
                <a:pt x="66" y="0"/>
              </a:lnTo>
              <a:close/>
            </a:path>
          </a:pathLst>
        </a:custGeom>
        <a:noFill/>
        <a:ln w="9525">
          <a:solidFill>
            <a:sysClr val="windowText" lastClr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/>
  </xdr:twoCellAnchor>
  <xdr:twoCellAnchor>
    <xdr:from>
      <xdr:col>12</xdr:col>
      <xdr:colOff>5277</xdr:colOff>
      <xdr:row>27</xdr:row>
      <xdr:rowOff>128301</xdr:rowOff>
    </xdr:from>
    <xdr:to>
      <xdr:col>12</xdr:col>
      <xdr:colOff>5277</xdr:colOff>
      <xdr:row>29</xdr:row>
      <xdr:rowOff>91200</xdr:rowOff>
    </xdr:to>
    <xdr:sp macro="" textlink="">
      <xdr:nvSpPr>
        <xdr:cNvPr id="60" name="Line 7421">
          <a:extLst>
            <a:ext uri="{FF2B5EF4-FFF2-40B4-BE49-F238E27FC236}">
              <a16:creationId xmlns:a16="http://schemas.microsoft.com/office/drawing/2014/main" id="{7C467175-3D0C-451E-9D5F-D8571B9BA451}"/>
            </a:ext>
          </a:extLst>
        </xdr:cNvPr>
        <xdr:cNvSpPr>
          <a:spLocks noChangeShapeType="1"/>
        </xdr:cNvSpPr>
      </xdr:nvSpPr>
      <xdr:spPr bwMode="auto">
        <a:xfrm>
          <a:off x="4018477" y="6773576"/>
          <a:ext cx="0" cy="420099"/>
        </a:xfrm>
        <a:prstGeom prst="line">
          <a:avLst/>
        </a:prstGeom>
        <a:noFill/>
        <a:ln w="9525">
          <a:solidFill>
            <a:sysClr val="windowText" lastClr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5277</xdr:colOff>
      <xdr:row>38</xdr:row>
      <xdr:rowOff>95260</xdr:rowOff>
    </xdr:from>
    <xdr:to>
      <xdr:col>12</xdr:col>
      <xdr:colOff>158867</xdr:colOff>
      <xdr:row>39</xdr:row>
      <xdr:rowOff>152716</xdr:rowOff>
    </xdr:to>
    <xdr:sp macro="" textlink="">
      <xdr:nvSpPr>
        <xdr:cNvPr id="61" name="Arc 7424">
          <a:extLst>
            <a:ext uri="{FF2B5EF4-FFF2-40B4-BE49-F238E27FC236}">
              <a16:creationId xmlns:a16="http://schemas.microsoft.com/office/drawing/2014/main" id="{8CE78FE0-12E8-449F-BF25-E5BB59C3EF4E}"/>
            </a:ext>
          </a:extLst>
        </xdr:cNvPr>
        <xdr:cNvSpPr>
          <a:spLocks/>
        </xdr:cNvSpPr>
      </xdr:nvSpPr>
      <xdr:spPr bwMode="auto">
        <a:xfrm>
          <a:off x="4018477" y="9258310"/>
          <a:ext cx="153590" cy="286056"/>
        </a:xfrm>
        <a:custGeom>
          <a:avLst/>
          <a:gdLst>
            <a:gd name="T0" fmla="*/ 2147483647 w 21666"/>
            <a:gd name="T1" fmla="*/ 0 h 43200"/>
            <a:gd name="T2" fmla="*/ 0 w 21666"/>
            <a:gd name="T3" fmla="*/ 2147483647 h 43200"/>
            <a:gd name="T4" fmla="*/ 2147483647 w 21666"/>
            <a:gd name="T5" fmla="*/ 2147483647 h 43200"/>
            <a:gd name="T6" fmla="*/ 0 60000 65536"/>
            <a:gd name="T7" fmla="*/ 0 60000 65536"/>
            <a:gd name="T8" fmla="*/ 0 60000 6553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0" t="0" r="r" b="b"/>
          <a:pathLst>
            <a:path w="21666" h="43200" fill="none" extrusionOk="0">
              <a:moveTo>
                <a:pt x="66" y="0"/>
              </a:moveTo>
              <a:cubicBezTo>
                <a:pt x="11995" y="0"/>
                <a:pt x="21666" y="9670"/>
                <a:pt x="21666" y="21600"/>
              </a:cubicBezTo>
              <a:cubicBezTo>
                <a:pt x="21666" y="33529"/>
                <a:pt x="11995" y="43200"/>
                <a:pt x="66" y="43200"/>
              </a:cubicBezTo>
              <a:cubicBezTo>
                <a:pt x="44" y="43200"/>
                <a:pt x="22" y="43199"/>
                <a:pt x="0" y="43199"/>
              </a:cubicBezTo>
            </a:path>
            <a:path w="21666" h="43200" stroke="0" extrusionOk="0">
              <a:moveTo>
                <a:pt x="66" y="0"/>
              </a:moveTo>
              <a:cubicBezTo>
                <a:pt x="11995" y="0"/>
                <a:pt x="21666" y="9670"/>
                <a:pt x="21666" y="21600"/>
              </a:cubicBezTo>
              <a:cubicBezTo>
                <a:pt x="21666" y="33529"/>
                <a:pt x="11995" y="43200"/>
                <a:pt x="66" y="43200"/>
              </a:cubicBezTo>
              <a:cubicBezTo>
                <a:pt x="44" y="43200"/>
                <a:pt x="22" y="43199"/>
                <a:pt x="0" y="43199"/>
              </a:cubicBezTo>
              <a:lnTo>
                <a:pt x="66" y="21600"/>
              </a:lnTo>
              <a:lnTo>
                <a:pt x="66" y="0"/>
              </a:lnTo>
              <a:close/>
            </a:path>
          </a:pathLst>
        </a:custGeom>
        <a:noFill/>
        <a:ln w="9525">
          <a:solidFill>
            <a:sysClr val="windowText" lastClr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/>
  </xdr:twoCellAnchor>
  <xdr:twoCellAnchor>
    <xdr:from>
      <xdr:col>12</xdr:col>
      <xdr:colOff>5277</xdr:colOff>
      <xdr:row>35</xdr:row>
      <xdr:rowOff>207991</xdr:rowOff>
    </xdr:from>
    <xdr:to>
      <xdr:col>12</xdr:col>
      <xdr:colOff>5277</xdr:colOff>
      <xdr:row>38</xdr:row>
      <xdr:rowOff>95332</xdr:rowOff>
    </xdr:to>
    <xdr:sp macro="" textlink="">
      <xdr:nvSpPr>
        <xdr:cNvPr id="62" name="Line 7425">
          <a:extLst>
            <a:ext uri="{FF2B5EF4-FFF2-40B4-BE49-F238E27FC236}">
              <a16:creationId xmlns:a16="http://schemas.microsoft.com/office/drawing/2014/main" id="{61238CD9-C5AF-49B6-B4A9-BF2A5C528842}"/>
            </a:ext>
          </a:extLst>
        </xdr:cNvPr>
        <xdr:cNvSpPr>
          <a:spLocks noChangeShapeType="1"/>
        </xdr:cNvSpPr>
      </xdr:nvSpPr>
      <xdr:spPr bwMode="auto">
        <a:xfrm>
          <a:off x="4018477" y="8685241"/>
          <a:ext cx="0" cy="573141"/>
        </a:xfrm>
        <a:prstGeom prst="line">
          <a:avLst/>
        </a:prstGeom>
        <a:noFill/>
        <a:ln w="9525">
          <a:solidFill>
            <a:sysClr val="windowText" lastClr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289258</xdr:colOff>
      <xdr:row>27</xdr:row>
      <xdr:rowOff>175806</xdr:rowOff>
    </xdr:from>
    <xdr:to>
      <xdr:col>9</xdr:col>
      <xdr:colOff>289258</xdr:colOff>
      <xdr:row>29</xdr:row>
      <xdr:rowOff>100701</xdr:rowOff>
    </xdr:to>
    <xdr:sp macro="" textlink="">
      <xdr:nvSpPr>
        <xdr:cNvPr id="63" name="Line 24">
          <a:extLst>
            <a:ext uri="{FF2B5EF4-FFF2-40B4-BE49-F238E27FC236}">
              <a16:creationId xmlns:a16="http://schemas.microsoft.com/office/drawing/2014/main" id="{CBDDA1C6-2E11-4397-BF02-B415EB83324A}"/>
            </a:ext>
          </a:extLst>
        </xdr:cNvPr>
        <xdr:cNvSpPr>
          <a:spLocks noChangeShapeType="1"/>
        </xdr:cNvSpPr>
      </xdr:nvSpPr>
      <xdr:spPr bwMode="auto">
        <a:xfrm>
          <a:off x="3264233" y="6827431"/>
          <a:ext cx="0" cy="382095"/>
        </a:xfrm>
        <a:prstGeom prst="line">
          <a:avLst/>
        </a:prstGeom>
        <a:noFill/>
        <a:ln w="9525">
          <a:solidFill>
            <a:sysClr val="windowText" lastClr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289258</xdr:colOff>
      <xdr:row>29</xdr:row>
      <xdr:rowOff>100701</xdr:rowOff>
    </xdr:from>
    <xdr:to>
      <xdr:col>10</xdr:col>
      <xdr:colOff>150623</xdr:colOff>
      <xdr:row>30</xdr:row>
      <xdr:rowOff>158157</xdr:rowOff>
    </xdr:to>
    <xdr:sp macro="" textlink="">
      <xdr:nvSpPr>
        <xdr:cNvPr id="64" name="Arc 7416">
          <a:extLst>
            <a:ext uri="{FF2B5EF4-FFF2-40B4-BE49-F238E27FC236}">
              <a16:creationId xmlns:a16="http://schemas.microsoft.com/office/drawing/2014/main" id="{9E6F9447-60E5-48BB-8124-AA0ED304505C}"/>
            </a:ext>
          </a:extLst>
        </xdr:cNvPr>
        <xdr:cNvSpPr>
          <a:spLocks/>
        </xdr:cNvSpPr>
      </xdr:nvSpPr>
      <xdr:spPr bwMode="auto">
        <a:xfrm>
          <a:off x="3264233" y="7209526"/>
          <a:ext cx="153465" cy="286056"/>
        </a:xfrm>
        <a:custGeom>
          <a:avLst/>
          <a:gdLst>
            <a:gd name="T0" fmla="*/ 2147483647 w 21666"/>
            <a:gd name="T1" fmla="*/ 0 h 43200"/>
            <a:gd name="T2" fmla="*/ 0 w 21666"/>
            <a:gd name="T3" fmla="*/ 2147483647 h 43200"/>
            <a:gd name="T4" fmla="*/ 2147483647 w 21666"/>
            <a:gd name="T5" fmla="*/ 2147483647 h 43200"/>
            <a:gd name="T6" fmla="*/ 0 60000 65536"/>
            <a:gd name="T7" fmla="*/ 0 60000 65536"/>
            <a:gd name="T8" fmla="*/ 0 60000 6553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0" t="0" r="r" b="b"/>
          <a:pathLst>
            <a:path w="21666" h="43200" fill="none" extrusionOk="0">
              <a:moveTo>
                <a:pt x="66" y="0"/>
              </a:moveTo>
              <a:cubicBezTo>
                <a:pt x="11995" y="0"/>
                <a:pt x="21666" y="9670"/>
                <a:pt x="21666" y="21600"/>
              </a:cubicBezTo>
              <a:cubicBezTo>
                <a:pt x="21666" y="33529"/>
                <a:pt x="11995" y="43200"/>
                <a:pt x="66" y="43200"/>
              </a:cubicBezTo>
              <a:cubicBezTo>
                <a:pt x="44" y="43200"/>
                <a:pt x="22" y="43199"/>
                <a:pt x="0" y="43199"/>
              </a:cubicBezTo>
            </a:path>
            <a:path w="21666" h="43200" stroke="0" extrusionOk="0">
              <a:moveTo>
                <a:pt x="66" y="0"/>
              </a:moveTo>
              <a:cubicBezTo>
                <a:pt x="11995" y="0"/>
                <a:pt x="21666" y="9670"/>
                <a:pt x="21666" y="21600"/>
              </a:cubicBezTo>
              <a:cubicBezTo>
                <a:pt x="21666" y="33529"/>
                <a:pt x="11995" y="43200"/>
                <a:pt x="66" y="43200"/>
              </a:cubicBezTo>
              <a:cubicBezTo>
                <a:pt x="44" y="43200"/>
                <a:pt x="22" y="43199"/>
                <a:pt x="0" y="43199"/>
              </a:cubicBezTo>
              <a:lnTo>
                <a:pt x="66" y="21600"/>
              </a:lnTo>
              <a:lnTo>
                <a:pt x="66" y="0"/>
              </a:lnTo>
              <a:close/>
            </a:path>
          </a:pathLst>
        </a:custGeom>
        <a:noFill/>
        <a:ln w="9525">
          <a:solidFill>
            <a:sysClr val="windowText" lastClr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/>
  </xdr:twoCellAnchor>
  <xdr:twoCellAnchor>
    <xdr:from>
      <xdr:col>13</xdr:col>
      <xdr:colOff>4948</xdr:colOff>
      <xdr:row>5</xdr:row>
      <xdr:rowOff>12370</xdr:rowOff>
    </xdr:from>
    <xdr:to>
      <xdr:col>13</xdr:col>
      <xdr:colOff>7468</xdr:colOff>
      <xdr:row>10</xdr:row>
      <xdr:rowOff>115335</xdr:rowOff>
    </xdr:to>
    <xdr:sp macro="" textlink="">
      <xdr:nvSpPr>
        <xdr:cNvPr id="65" name="Line 32">
          <a:extLst>
            <a:ext uri="{FF2B5EF4-FFF2-40B4-BE49-F238E27FC236}">
              <a16:creationId xmlns:a16="http://schemas.microsoft.com/office/drawing/2014/main" id="{DD985BEC-C4EE-4149-A019-8FB2F79CB3C4}"/>
            </a:ext>
          </a:extLst>
        </xdr:cNvPr>
        <xdr:cNvSpPr>
          <a:spLocks noChangeShapeType="1"/>
        </xdr:cNvSpPr>
      </xdr:nvSpPr>
      <xdr:spPr bwMode="auto">
        <a:xfrm flipH="1" flipV="1">
          <a:off x="4322948" y="1542720"/>
          <a:ext cx="2520" cy="1220565"/>
        </a:xfrm>
        <a:prstGeom prst="line">
          <a:avLst/>
        </a:prstGeom>
        <a:noFill/>
        <a:ln w="9525">
          <a:solidFill>
            <a:sysClr val="windowText" lastClr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297656</xdr:colOff>
      <xdr:row>41</xdr:row>
      <xdr:rowOff>0</xdr:rowOff>
    </xdr:from>
    <xdr:to>
      <xdr:col>24</xdr:col>
      <xdr:colOff>0</xdr:colOff>
      <xdr:row>41</xdr:row>
      <xdr:rowOff>10794</xdr:rowOff>
    </xdr:to>
    <xdr:sp macro="" textlink="">
      <xdr:nvSpPr>
        <xdr:cNvPr id="66" name="Line 25">
          <a:extLst>
            <a:ext uri="{FF2B5EF4-FFF2-40B4-BE49-F238E27FC236}">
              <a16:creationId xmlns:a16="http://schemas.microsoft.com/office/drawing/2014/main" id="{5ADD3A33-19F3-462F-925C-F114205DEB08}"/>
            </a:ext>
          </a:extLst>
        </xdr:cNvPr>
        <xdr:cNvSpPr>
          <a:spLocks noChangeShapeType="1"/>
        </xdr:cNvSpPr>
      </xdr:nvSpPr>
      <xdr:spPr bwMode="auto">
        <a:xfrm flipV="1">
          <a:off x="4304506" y="9848850"/>
          <a:ext cx="6058694" cy="7619"/>
        </a:xfrm>
        <a:prstGeom prst="line">
          <a:avLst/>
        </a:prstGeom>
        <a:noFill/>
        <a:ln w="9525">
          <a:solidFill>
            <a:sysClr val="windowText" lastClr="000000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13391</xdr:colOff>
      <xdr:row>38</xdr:row>
      <xdr:rowOff>95260</xdr:rowOff>
    </xdr:from>
    <xdr:to>
      <xdr:col>13</xdr:col>
      <xdr:colOff>153018</xdr:colOff>
      <xdr:row>39</xdr:row>
      <xdr:rowOff>152716</xdr:rowOff>
    </xdr:to>
    <xdr:sp macro="" textlink="">
      <xdr:nvSpPr>
        <xdr:cNvPr id="67" name="Arc 7424">
          <a:extLst>
            <a:ext uri="{FF2B5EF4-FFF2-40B4-BE49-F238E27FC236}">
              <a16:creationId xmlns:a16="http://schemas.microsoft.com/office/drawing/2014/main" id="{EA671B54-8B53-48B8-A622-8EEF52BA5ED7}"/>
            </a:ext>
          </a:extLst>
        </xdr:cNvPr>
        <xdr:cNvSpPr>
          <a:spLocks/>
        </xdr:cNvSpPr>
      </xdr:nvSpPr>
      <xdr:spPr bwMode="auto">
        <a:xfrm>
          <a:off x="4325041" y="9258310"/>
          <a:ext cx="142802" cy="286056"/>
        </a:xfrm>
        <a:custGeom>
          <a:avLst/>
          <a:gdLst>
            <a:gd name="T0" fmla="*/ 2147483647 w 21666"/>
            <a:gd name="T1" fmla="*/ 0 h 43200"/>
            <a:gd name="T2" fmla="*/ 0 w 21666"/>
            <a:gd name="T3" fmla="*/ 2147483647 h 43200"/>
            <a:gd name="T4" fmla="*/ 2147483647 w 21666"/>
            <a:gd name="T5" fmla="*/ 2147483647 h 43200"/>
            <a:gd name="T6" fmla="*/ 0 60000 65536"/>
            <a:gd name="T7" fmla="*/ 0 60000 65536"/>
            <a:gd name="T8" fmla="*/ 0 60000 6553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0" t="0" r="r" b="b"/>
          <a:pathLst>
            <a:path w="21666" h="43200" fill="none" extrusionOk="0">
              <a:moveTo>
                <a:pt x="66" y="0"/>
              </a:moveTo>
              <a:cubicBezTo>
                <a:pt x="11995" y="0"/>
                <a:pt x="21666" y="9670"/>
                <a:pt x="21666" y="21600"/>
              </a:cubicBezTo>
              <a:cubicBezTo>
                <a:pt x="21666" y="33529"/>
                <a:pt x="11995" y="43200"/>
                <a:pt x="66" y="43200"/>
              </a:cubicBezTo>
              <a:cubicBezTo>
                <a:pt x="44" y="43200"/>
                <a:pt x="22" y="43199"/>
                <a:pt x="0" y="43199"/>
              </a:cubicBezTo>
            </a:path>
            <a:path w="21666" h="43200" stroke="0" extrusionOk="0">
              <a:moveTo>
                <a:pt x="66" y="0"/>
              </a:moveTo>
              <a:cubicBezTo>
                <a:pt x="11995" y="0"/>
                <a:pt x="21666" y="9670"/>
                <a:pt x="21666" y="21600"/>
              </a:cubicBezTo>
              <a:cubicBezTo>
                <a:pt x="21666" y="33529"/>
                <a:pt x="11995" y="43200"/>
                <a:pt x="66" y="43200"/>
              </a:cubicBezTo>
              <a:cubicBezTo>
                <a:pt x="44" y="43200"/>
                <a:pt x="22" y="43199"/>
                <a:pt x="0" y="43199"/>
              </a:cubicBezTo>
              <a:lnTo>
                <a:pt x="66" y="21600"/>
              </a:lnTo>
              <a:lnTo>
                <a:pt x="66" y="0"/>
              </a:lnTo>
              <a:close/>
            </a:path>
          </a:pathLst>
        </a:custGeom>
        <a:noFill/>
        <a:ln w="9525">
          <a:solidFill>
            <a:sysClr val="windowText" lastClr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/>
  </xdr:twoCellAnchor>
  <xdr:twoCellAnchor>
    <xdr:from>
      <xdr:col>13</xdr:col>
      <xdr:colOff>18947</xdr:colOff>
      <xdr:row>36</xdr:row>
      <xdr:rowOff>90412</xdr:rowOff>
    </xdr:from>
    <xdr:to>
      <xdr:col>13</xdr:col>
      <xdr:colOff>159762</xdr:colOff>
      <xdr:row>37</xdr:row>
      <xdr:rowOff>135193</xdr:rowOff>
    </xdr:to>
    <xdr:sp macro="" textlink="">
      <xdr:nvSpPr>
        <xdr:cNvPr id="68" name="Arc 7424">
          <a:extLst>
            <a:ext uri="{FF2B5EF4-FFF2-40B4-BE49-F238E27FC236}">
              <a16:creationId xmlns:a16="http://schemas.microsoft.com/office/drawing/2014/main" id="{8EA92F7D-9FC7-4B31-A801-6FE4D2591B1F}"/>
            </a:ext>
          </a:extLst>
        </xdr:cNvPr>
        <xdr:cNvSpPr>
          <a:spLocks/>
        </xdr:cNvSpPr>
      </xdr:nvSpPr>
      <xdr:spPr bwMode="auto">
        <a:xfrm>
          <a:off x="4333772" y="8793087"/>
          <a:ext cx="143990" cy="276556"/>
        </a:xfrm>
        <a:custGeom>
          <a:avLst/>
          <a:gdLst>
            <a:gd name="T0" fmla="*/ 2147483647 w 21666"/>
            <a:gd name="T1" fmla="*/ 0 h 43200"/>
            <a:gd name="T2" fmla="*/ 0 w 21666"/>
            <a:gd name="T3" fmla="*/ 2147483647 h 43200"/>
            <a:gd name="T4" fmla="*/ 2147483647 w 21666"/>
            <a:gd name="T5" fmla="*/ 2147483647 h 43200"/>
            <a:gd name="T6" fmla="*/ 0 60000 65536"/>
            <a:gd name="T7" fmla="*/ 0 60000 65536"/>
            <a:gd name="T8" fmla="*/ 0 60000 6553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0" t="0" r="r" b="b"/>
          <a:pathLst>
            <a:path w="21666" h="43200" fill="none" extrusionOk="0">
              <a:moveTo>
                <a:pt x="66" y="0"/>
              </a:moveTo>
              <a:cubicBezTo>
                <a:pt x="11995" y="0"/>
                <a:pt x="21666" y="9670"/>
                <a:pt x="21666" y="21600"/>
              </a:cubicBezTo>
              <a:cubicBezTo>
                <a:pt x="21666" y="33529"/>
                <a:pt x="11995" y="43200"/>
                <a:pt x="66" y="43200"/>
              </a:cubicBezTo>
              <a:cubicBezTo>
                <a:pt x="44" y="43200"/>
                <a:pt x="22" y="43199"/>
                <a:pt x="0" y="43199"/>
              </a:cubicBezTo>
            </a:path>
            <a:path w="21666" h="43200" stroke="0" extrusionOk="0">
              <a:moveTo>
                <a:pt x="66" y="0"/>
              </a:moveTo>
              <a:cubicBezTo>
                <a:pt x="11995" y="0"/>
                <a:pt x="21666" y="9670"/>
                <a:pt x="21666" y="21600"/>
              </a:cubicBezTo>
              <a:cubicBezTo>
                <a:pt x="21666" y="33529"/>
                <a:pt x="11995" y="43200"/>
                <a:pt x="66" y="43200"/>
              </a:cubicBezTo>
              <a:cubicBezTo>
                <a:pt x="44" y="43200"/>
                <a:pt x="22" y="43199"/>
                <a:pt x="0" y="43199"/>
              </a:cubicBezTo>
              <a:lnTo>
                <a:pt x="66" y="21600"/>
              </a:lnTo>
              <a:lnTo>
                <a:pt x="66" y="0"/>
              </a:lnTo>
              <a:close/>
            </a:path>
          </a:pathLst>
        </a:custGeom>
        <a:noFill/>
        <a:ln w="9525">
          <a:solidFill>
            <a:sysClr val="windowText" lastClr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/>
  </xdr:twoCellAnchor>
  <xdr:twoCellAnchor>
    <xdr:from>
      <xdr:col>13</xdr:col>
      <xdr:colOff>18576</xdr:colOff>
      <xdr:row>34</xdr:row>
      <xdr:rowOff>137013</xdr:rowOff>
    </xdr:from>
    <xdr:to>
      <xdr:col>13</xdr:col>
      <xdr:colOff>151853</xdr:colOff>
      <xdr:row>35</xdr:row>
      <xdr:rowOff>194470</xdr:rowOff>
    </xdr:to>
    <xdr:sp macro="" textlink="">
      <xdr:nvSpPr>
        <xdr:cNvPr id="69" name="Arc 7424">
          <a:extLst>
            <a:ext uri="{FF2B5EF4-FFF2-40B4-BE49-F238E27FC236}">
              <a16:creationId xmlns:a16="http://schemas.microsoft.com/office/drawing/2014/main" id="{86D58CDA-FCAB-403B-AD0B-7DDEE4B07A83}"/>
            </a:ext>
          </a:extLst>
        </xdr:cNvPr>
        <xdr:cNvSpPr>
          <a:spLocks/>
        </xdr:cNvSpPr>
      </xdr:nvSpPr>
      <xdr:spPr bwMode="auto">
        <a:xfrm>
          <a:off x="4333401" y="8388838"/>
          <a:ext cx="133277" cy="286057"/>
        </a:xfrm>
        <a:custGeom>
          <a:avLst/>
          <a:gdLst>
            <a:gd name="T0" fmla="*/ 2147483647 w 21666"/>
            <a:gd name="T1" fmla="*/ 0 h 43200"/>
            <a:gd name="T2" fmla="*/ 0 w 21666"/>
            <a:gd name="T3" fmla="*/ 2147483647 h 43200"/>
            <a:gd name="T4" fmla="*/ 2147483647 w 21666"/>
            <a:gd name="T5" fmla="*/ 2147483647 h 43200"/>
            <a:gd name="T6" fmla="*/ 0 60000 65536"/>
            <a:gd name="T7" fmla="*/ 0 60000 65536"/>
            <a:gd name="T8" fmla="*/ 0 60000 6553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0" t="0" r="r" b="b"/>
          <a:pathLst>
            <a:path w="21666" h="43200" fill="none" extrusionOk="0">
              <a:moveTo>
                <a:pt x="66" y="0"/>
              </a:moveTo>
              <a:cubicBezTo>
                <a:pt x="11995" y="0"/>
                <a:pt x="21666" y="9670"/>
                <a:pt x="21666" y="21600"/>
              </a:cubicBezTo>
              <a:cubicBezTo>
                <a:pt x="21666" y="33529"/>
                <a:pt x="11995" y="43200"/>
                <a:pt x="66" y="43200"/>
              </a:cubicBezTo>
              <a:cubicBezTo>
                <a:pt x="44" y="43200"/>
                <a:pt x="22" y="43199"/>
                <a:pt x="0" y="43199"/>
              </a:cubicBezTo>
            </a:path>
            <a:path w="21666" h="43200" stroke="0" extrusionOk="0">
              <a:moveTo>
                <a:pt x="66" y="0"/>
              </a:moveTo>
              <a:cubicBezTo>
                <a:pt x="11995" y="0"/>
                <a:pt x="21666" y="9670"/>
                <a:pt x="21666" y="21600"/>
              </a:cubicBezTo>
              <a:cubicBezTo>
                <a:pt x="21666" y="33529"/>
                <a:pt x="11995" y="43200"/>
                <a:pt x="66" y="43200"/>
              </a:cubicBezTo>
              <a:cubicBezTo>
                <a:pt x="44" y="43200"/>
                <a:pt x="22" y="43199"/>
                <a:pt x="0" y="43199"/>
              </a:cubicBezTo>
              <a:lnTo>
                <a:pt x="66" y="21600"/>
              </a:lnTo>
              <a:lnTo>
                <a:pt x="66" y="0"/>
              </a:lnTo>
              <a:close/>
            </a:path>
          </a:pathLst>
        </a:custGeom>
        <a:noFill/>
        <a:ln w="9525">
          <a:solidFill>
            <a:sysClr val="windowText" lastClr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/>
  </xdr:twoCellAnchor>
  <xdr:twoCellAnchor>
    <xdr:from>
      <xdr:col>13</xdr:col>
      <xdr:colOff>6346</xdr:colOff>
      <xdr:row>11</xdr:row>
      <xdr:rowOff>163212</xdr:rowOff>
    </xdr:from>
    <xdr:to>
      <xdr:col>13</xdr:col>
      <xdr:colOff>6346</xdr:colOff>
      <xdr:row>20</xdr:row>
      <xdr:rowOff>119712</xdr:rowOff>
    </xdr:to>
    <xdr:sp macro="" textlink="">
      <xdr:nvSpPr>
        <xdr:cNvPr id="70" name="Line 32">
          <a:extLst>
            <a:ext uri="{FF2B5EF4-FFF2-40B4-BE49-F238E27FC236}">
              <a16:creationId xmlns:a16="http://schemas.microsoft.com/office/drawing/2014/main" id="{6816FA9C-866E-4188-835B-77EAE0A6AD4A}"/>
            </a:ext>
          </a:extLst>
        </xdr:cNvPr>
        <xdr:cNvSpPr>
          <a:spLocks noChangeShapeType="1"/>
        </xdr:cNvSpPr>
      </xdr:nvSpPr>
      <xdr:spPr bwMode="auto">
        <a:xfrm flipV="1">
          <a:off x="4324346" y="3036587"/>
          <a:ext cx="0" cy="2134550"/>
        </a:xfrm>
        <a:prstGeom prst="line">
          <a:avLst/>
        </a:prstGeom>
        <a:noFill/>
        <a:ln w="9525">
          <a:solidFill>
            <a:sysClr val="windowText" lastClr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6346</xdr:colOff>
      <xdr:row>27</xdr:row>
      <xdr:rowOff>147303</xdr:rowOff>
    </xdr:from>
    <xdr:to>
      <xdr:col>13</xdr:col>
      <xdr:colOff>6346</xdr:colOff>
      <xdr:row>29</xdr:row>
      <xdr:rowOff>100701</xdr:rowOff>
    </xdr:to>
    <xdr:sp macro="" textlink="">
      <xdr:nvSpPr>
        <xdr:cNvPr id="71" name="Line 32">
          <a:extLst>
            <a:ext uri="{FF2B5EF4-FFF2-40B4-BE49-F238E27FC236}">
              <a16:creationId xmlns:a16="http://schemas.microsoft.com/office/drawing/2014/main" id="{6CA431BC-5EE3-4101-B384-3F86E9233F2B}"/>
            </a:ext>
          </a:extLst>
        </xdr:cNvPr>
        <xdr:cNvSpPr>
          <a:spLocks noChangeShapeType="1"/>
        </xdr:cNvSpPr>
      </xdr:nvSpPr>
      <xdr:spPr bwMode="auto">
        <a:xfrm flipV="1">
          <a:off x="4324346" y="6792578"/>
          <a:ext cx="0" cy="416948"/>
        </a:xfrm>
        <a:prstGeom prst="line">
          <a:avLst/>
        </a:prstGeom>
        <a:noFill/>
        <a:ln w="9525">
          <a:solidFill>
            <a:sysClr val="windowText" lastClr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9237</xdr:colOff>
      <xdr:row>33</xdr:row>
      <xdr:rowOff>145867</xdr:rowOff>
    </xdr:from>
    <xdr:to>
      <xdr:col>13</xdr:col>
      <xdr:colOff>10297</xdr:colOff>
      <xdr:row>34</xdr:row>
      <xdr:rowOff>141588</xdr:rowOff>
    </xdr:to>
    <xdr:sp macro="" textlink="">
      <xdr:nvSpPr>
        <xdr:cNvPr id="72" name="Line 32">
          <a:extLst>
            <a:ext uri="{FF2B5EF4-FFF2-40B4-BE49-F238E27FC236}">
              <a16:creationId xmlns:a16="http://schemas.microsoft.com/office/drawing/2014/main" id="{A8D73E7D-7282-4617-B3CA-134E9B4FCD70}"/>
            </a:ext>
          </a:extLst>
        </xdr:cNvPr>
        <xdr:cNvSpPr>
          <a:spLocks noChangeShapeType="1"/>
        </xdr:cNvSpPr>
      </xdr:nvSpPr>
      <xdr:spPr bwMode="auto">
        <a:xfrm flipH="1" flipV="1">
          <a:off x="4323805" y="8177759"/>
          <a:ext cx="1060" cy="224836"/>
        </a:xfrm>
        <a:prstGeom prst="line">
          <a:avLst/>
        </a:prstGeom>
        <a:noFill/>
        <a:ln w="9525">
          <a:solidFill>
            <a:sysClr val="windowText" lastClr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19049</xdr:colOff>
      <xdr:row>35</xdr:row>
      <xdr:rowOff>200025</xdr:rowOff>
    </xdr:from>
    <xdr:to>
      <xdr:col>13</xdr:col>
      <xdr:colOff>19049</xdr:colOff>
      <xdr:row>36</xdr:row>
      <xdr:rowOff>87311</xdr:rowOff>
    </xdr:to>
    <xdr:sp macro="" textlink="">
      <xdr:nvSpPr>
        <xdr:cNvPr id="73" name="Line 32">
          <a:extLst>
            <a:ext uri="{FF2B5EF4-FFF2-40B4-BE49-F238E27FC236}">
              <a16:creationId xmlns:a16="http://schemas.microsoft.com/office/drawing/2014/main" id="{F3138B84-5181-4B6F-A677-17F4EC34E8DD}"/>
            </a:ext>
          </a:extLst>
        </xdr:cNvPr>
        <xdr:cNvSpPr>
          <a:spLocks noChangeShapeType="1"/>
        </xdr:cNvSpPr>
      </xdr:nvSpPr>
      <xdr:spPr bwMode="auto">
        <a:xfrm flipH="1" flipV="1">
          <a:off x="4333874" y="8674100"/>
          <a:ext cx="0" cy="115886"/>
        </a:xfrm>
        <a:prstGeom prst="line">
          <a:avLst/>
        </a:prstGeom>
        <a:noFill/>
        <a:ln w="9525">
          <a:solidFill>
            <a:sysClr val="windowText" lastClr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9036</xdr:colOff>
      <xdr:row>37</xdr:row>
      <xdr:rowOff>137745</xdr:rowOff>
    </xdr:from>
    <xdr:to>
      <xdr:col>13</xdr:col>
      <xdr:colOff>11723</xdr:colOff>
      <xdr:row>38</xdr:row>
      <xdr:rowOff>93784</xdr:rowOff>
    </xdr:to>
    <xdr:sp macro="" textlink="">
      <xdr:nvSpPr>
        <xdr:cNvPr id="74" name="Line 32">
          <a:extLst>
            <a:ext uri="{FF2B5EF4-FFF2-40B4-BE49-F238E27FC236}">
              <a16:creationId xmlns:a16="http://schemas.microsoft.com/office/drawing/2014/main" id="{886AB76F-2C53-4A43-AAE4-E6C79BFB4FA3}"/>
            </a:ext>
          </a:extLst>
        </xdr:cNvPr>
        <xdr:cNvSpPr>
          <a:spLocks noChangeShapeType="1"/>
        </xdr:cNvSpPr>
      </xdr:nvSpPr>
      <xdr:spPr bwMode="auto">
        <a:xfrm flipV="1">
          <a:off x="4331921" y="9079522"/>
          <a:ext cx="2687" cy="184639"/>
        </a:xfrm>
        <a:prstGeom prst="line">
          <a:avLst/>
        </a:prstGeom>
        <a:noFill/>
        <a:ln w="9525">
          <a:solidFill>
            <a:sysClr val="windowText" lastClr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zh-TW" altLang="en-US"/>
        </a:p>
      </xdr:txBody>
    </xdr:sp>
    <xdr:clientData/>
  </xdr:twoCellAnchor>
  <xdr:twoCellAnchor>
    <xdr:from>
      <xdr:col>12</xdr:col>
      <xdr:colOff>5277</xdr:colOff>
      <xdr:row>33</xdr:row>
      <xdr:rowOff>140509</xdr:rowOff>
    </xdr:from>
    <xdr:to>
      <xdr:col>12</xdr:col>
      <xdr:colOff>5277</xdr:colOff>
      <xdr:row>34</xdr:row>
      <xdr:rowOff>150461</xdr:rowOff>
    </xdr:to>
    <xdr:sp macro="" textlink="">
      <xdr:nvSpPr>
        <xdr:cNvPr id="75" name="Line 7421">
          <a:extLst>
            <a:ext uri="{FF2B5EF4-FFF2-40B4-BE49-F238E27FC236}">
              <a16:creationId xmlns:a16="http://schemas.microsoft.com/office/drawing/2014/main" id="{E372D6E9-DE26-4995-B009-4AE5801D1808}"/>
            </a:ext>
          </a:extLst>
        </xdr:cNvPr>
        <xdr:cNvSpPr>
          <a:spLocks noChangeShapeType="1"/>
        </xdr:cNvSpPr>
      </xdr:nvSpPr>
      <xdr:spPr bwMode="auto">
        <a:xfrm>
          <a:off x="4018477" y="8163734"/>
          <a:ext cx="0" cy="235377"/>
        </a:xfrm>
        <a:prstGeom prst="line">
          <a:avLst/>
        </a:prstGeom>
        <a:noFill/>
        <a:ln w="9525">
          <a:solidFill>
            <a:sysClr val="windowText" lastClr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289258</xdr:colOff>
      <xdr:row>35</xdr:row>
      <xdr:rowOff>217420</xdr:rowOff>
    </xdr:from>
    <xdr:to>
      <xdr:col>9</xdr:col>
      <xdr:colOff>289258</xdr:colOff>
      <xdr:row>39</xdr:row>
      <xdr:rowOff>4156</xdr:rowOff>
    </xdr:to>
    <xdr:sp macro="" textlink="">
      <xdr:nvSpPr>
        <xdr:cNvPr id="76" name="Line 24">
          <a:extLst>
            <a:ext uri="{FF2B5EF4-FFF2-40B4-BE49-F238E27FC236}">
              <a16:creationId xmlns:a16="http://schemas.microsoft.com/office/drawing/2014/main" id="{A0EDCB2C-CD6B-40D9-88E4-9E9E5444EF46}"/>
            </a:ext>
          </a:extLst>
        </xdr:cNvPr>
        <xdr:cNvSpPr>
          <a:spLocks noChangeShapeType="1"/>
        </xdr:cNvSpPr>
      </xdr:nvSpPr>
      <xdr:spPr bwMode="auto">
        <a:xfrm>
          <a:off x="3264233" y="8697845"/>
          <a:ext cx="0" cy="701136"/>
        </a:xfrm>
        <a:prstGeom prst="line">
          <a:avLst/>
        </a:prstGeom>
        <a:noFill/>
        <a:ln w="9525">
          <a:solidFill>
            <a:sysClr val="windowText" lastClr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35</xdr:col>
      <xdr:colOff>3549</xdr:colOff>
      <xdr:row>30</xdr:row>
      <xdr:rowOff>227013</xdr:rowOff>
    </xdr:from>
    <xdr:to>
      <xdr:col>35</xdr:col>
      <xdr:colOff>3549</xdr:colOff>
      <xdr:row>36</xdr:row>
      <xdr:rowOff>93642</xdr:rowOff>
    </xdr:to>
    <xdr:sp macro="" textlink="">
      <xdr:nvSpPr>
        <xdr:cNvPr id="77" name="Line 27">
          <a:extLst>
            <a:ext uri="{FF2B5EF4-FFF2-40B4-BE49-F238E27FC236}">
              <a16:creationId xmlns:a16="http://schemas.microsoft.com/office/drawing/2014/main" id="{D2D0E854-9855-4B65-B1C6-9F7F74E8C05B}"/>
            </a:ext>
          </a:extLst>
        </xdr:cNvPr>
        <xdr:cNvSpPr>
          <a:spLocks noChangeShapeType="1"/>
        </xdr:cNvSpPr>
      </xdr:nvSpPr>
      <xdr:spPr bwMode="auto">
        <a:xfrm flipH="1">
          <a:off x="14862549" y="7561263"/>
          <a:ext cx="0" cy="1238229"/>
        </a:xfrm>
        <a:prstGeom prst="line">
          <a:avLst/>
        </a:prstGeom>
        <a:noFill/>
        <a:ln w="9525">
          <a:solidFill>
            <a:sysClr val="windowText" lastClr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41</xdr:col>
      <xdr:colOff>3551</xdr:colOff>
      <xdr:row>13</xdr:row>
      <xdr:rowOff>4964</xdr:rowOff>
    </xdr:from>
    <xdr:to>
      <xdr:col>41</xdr:col>
      <xdr:colOff>3551</xdr:colOff>
      <xdr:row>49</xdr:row>
      <xdr:rowOff>15478</xdr:rowOff>
    </xdr:to>
    <xdr:sp macro="" textlink="">
      <xdr:nvSpPr>
        <xdr:cNvPr id="78" name="Line 26">
          <a:extLst>
            <a:ext uri="{FF2B5EF4-FFF2-40B4-BE49-F238E27FC236}">
              <a16:creationId xmlns:a16="http://schemas.microsoft.com/office/drawing/2014/main" id="{2FB9462E-9719-4CB4-A3AA-F6EFFB28F563}"/>
            </a:ext>
          </a:extLst>
        </xdr:cNvPr>
        <xdr:cNvSpPr>
          <a:spLocks noChangeShapeType="1"/>
        </xdr:cNvSpPr>
      </xdr:nvSpPr>
      <xdr:spPr bwMode="auto">
        <a:xfrm>
          <a:off x="17113626" y="3360939"/>
          <a:ext cx="0" cy="8309964"/>
        </a:xfrm>
        <a:prstGeom prst="line">
          <a:avLst/>
        </a:prstGeom>
        <a:noFill/>
        <a:ln w="9525">
          <a:solidFill>
            <a:sysClr val="windowText" lastClr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2474</xdr:colOff>
      <xdr:row>5</xdr:row>
      <xdr:rowOff>205344</xdr:rowOff>
    </xdr:from>
    <xdr:to>
      <xdr:col>25</xdr:col>
      <xdr:colOff>2474</xdr:colOff>
      <xdr:row>10</xdr:row>
      <xdr:rowOff>221960</xdr:rowOff>
    </xdr:to>
    <xdr:sp macro="" textlink="">
      <xdr:nvSpPr>
        <xdr:cNvPr id="79" name="Line 50">
          <a:extLst>
            <a:ext uri="{FF2B5EF4-FFF2-40B4-BE49-F238E27FC236}">
              <a16:creationId xmlns:a16="http://schemas.microsoft.com/office/drawing/2014/main" id="{BDB87A50-C9BA-4A95-9BB0-0EA52C70965B}"/>
            </a:ext>
          </a:extLst>
        </xdr:cNvPr>
        <xdr:cNvSpPr>
          <a:spLocks noChangeShapeType="1"/>
        </xdr:cNvSpPr>
      </xdr:nvSpPr>
      <xdr:spPr bwMode="auto">
        <a:xfrm flipH="1">
          <a:off x="11251499" y="1735694"/>
          <a:ext cx="0" cy="1131041"/>
        </a:xfrm>
        <a:prstGeom prst="line">
          <a:avLst/>
        </a:prstGeom>
        <a:noFill/>
        <a:ln w="9525">
          <a:solidFill>
            <a:sysClr val="windowText" lastClr="000000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43</xdr:col>
      <xdr:colOff>290513</xdr:colOff>
      <xdr:row>11</xdr:row>
      <xdr:rowOff>247649</xdr:rowOff>
    </xdr:from>
    <xdr:to>
      <xdr:col>46</xdr:col>
      <xdr:colOff>216884</xdr:colOff>
      <xdr:row>17</xdr:row>
      <xdr:rowOff>226945</xdr:rowOff>
    </xdr:to>
    <xdr:cxnSp macro="">
      <xdr:nvCxnSpPr>
        <xdr:cNvPr id="80" name="肘形接點 119">
          <a:extLst>
            <a:ext uri="{FF2B5EF4-FFF2-40B4-BE49-F238E27FC236}">
              <a16:creationId xmlns:a16="http://schemas.microsoft.com/office/drawing/2014/main" id="{63CF4009-19B4-44E1-893B-06CB64427F3E}"/>
            </a:ext>
          </a:extLst>
        </xdr:cNvPr>
        <xdr:cNvCxnSpPr>
          <a:cxnSpLocks noChangeShapeType="1"/>
        </xdr:cNvCxnSpPr>
      </xdr:nvCxnSpPr>
      <xdr:spPr bwMode="auto">
        <a:xfrm rot="16200000" flipH="1">
          <a:off x="18093263" y="3203049"/>
          <a:ext cx="1379471" cy="1221771"/>
        </a:xfrm>
        <a:prstGeom prst="bentConnector3">
          <a:avLst>
            <a:gd name="adj1" fmla="val 100233"/>
          </a:avLst>
        </a:prstGeom>
        <a:noFill/>
        <a:ln w="9525">
          <a:solidFill>
            <a:sysClr val="windowText" lastClr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43</xdr:col>
      <xdr:colOff>199160</xdr:colOff>
      <xdr:row>4</xdr:row>
      <xdr:rowOff>4330</xdr:rowOff>
    </xdr:from>
    <xdr:to>
      <xdr:col>43</xdr:col>
      <xdr:colOff>199818</xdr:colOff>
      <xdr:row>9</xdr:row>
      <xdr:rowOff>219963</xdr:rowOff>
    </xdr:to>
    <xdr:sp macro="" textlink="">
      <xdr:nvSpPr>
        <xdr:cNvPr id="81" name="Line 50">
          <a:extLst>
            <a:ext uri="{FF2B5EF4-FFF2-40B4-BE49-F238E27FC236}">
              <a16:creationId xmlns:a16="http://schemas.microsoft.com/office/drawing/2014/main" id="{CE34A8E3-9ED3-4038-9550-3971A622BE04}"/>
            </a:ext>
          </a:extLst>
        </xdr:cNvPr>
        <xdr:cNvSpPr>
          <a:spLocks noChangeShapeType="1"/>
        </xdr:cNvSpPr>
      </xdr:nvSpPr>
      <xdr:spPr bwMode="auto">
        <a:xfrm>
          <a:off x="18080760" y="1093355"/>
          <a:ext cx="658" cy="1542783"/>
        </a:xfrm>
        <a:prstGeom prst="line">
          <a:avLst/>
        </a:prstGeom>
        <a:noFill/>
        <a:ln w="9525">
          <a:solidFill>
            <a:sysClr val="windowText" lastClr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48</xdr:col>
      <xdr:colOff>2309</xdr:colOff>
      <xdr:row>10</xdr:row>
      <xdr:rowOff>221960</xdr:rowOff>
    </xdr:from>
    <xdr:to>
      <xdr:col>48</xdr:col>
      <xdr:colOff>2309</xdr:colOff>
      <xdr:row>13</xdr:row>
      <xdr:rowOff>1503</xdr:rowOff>
    </xdr:to>
    <xdr:sp macro="" textlink="">
      <xdr:nvSpPr>
        <xdr:cNvPr id="82" name="Line 50">
          <a:extLst>
            <a:ext uri="{FF2B5EF4-FFF2-40B4-BE49-F238E27FC236}">
              <a16:creationId xmlns:a16="http://schemas.microsoft.com/office/drawing/2014/main" id="{709A7496-9D20-43E8-82A7-282DFC268F9A}"/>
            </a:ext>
          </a:extLst>
        </xdr:cNvPr>
        <xdr:cNvSpPr>
          <a:spLocks noChangeShapeType="1"/>
        </xdr:cNvSpPr>
      </xdr:nvSpPr>
      <xdr:spPr bwMode="auto">
        <a:xfrm>
          <a:off x="20176259" y="2866735"/>
          <a:ext cx="0" cy="487568"/>
        </a:xfrm>
        <a:prstGeom prst="line">
          <a:avLst/>
        </a:prstGeom>
        <a:noFill/>
        <a:ln w="9525">
          <a:solidFill>
            <a:sysClr val="windowText" lastClr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27051</xdr:colOff>
      <xdr:row>21</xdr:row>
      <xdr:rowOff>8910</xdr:rowOff>
    </xdr:from>
    <xdr:to>
      <xdr:col>19</xdr:col>
      <xdr:colOff>1540</xdr:colOff>
      <xdr:row>21</xdr:row>
      <xdr:rowOff>8910</xdr:rowOff>
    </xdr:to>
    <xdr:sp macro="" textlink="">
      <xdr:nvSpPr>
        <xdr:cNvPr id="83" name="Line 46">
          <a:extLst>
            <a:ext uri="{FF2B5EF4-FFF2-40B4-BE49-F238E27FC236}">
              <a16:creationId xmlns:a16="http://schemas.microsoft.com/office/drawing/2014/main" id="{194C7891-873B-43F1-8196-9CADC73D34F1}"/>
            </a:ext>
          </a:extLst>
        </xdr:cNvPr>
        <xdr:cNvSpPr>
          <a:spLocks noChangeShapeType="1"/>
        </xdr:cNvSpPr>
      </xdr:nvSpPr>
      <xdr:spPr bwMode="auto">
        <a:xfrm flipV="1">
          <a:off x="1592326" y="5288935"/>
          <a:ext cx="5733939" cy="0"/>
        </a:xfrm>
        <a:prstGeom prst="line">
          <a:avLst/>
        </a:prstGeom>
        <a:noFill/>
        <a:ln w="9525">
          <a:solidFill>
            <a:sysClr val="windowText" lastClr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5878</xdr:colOff>
      <xdr:row>20</xdr:row>
      <xdr:rowOff>105193</xdr:rowOff>
    </xdr:from>
    <xdr:to>
      <xdr:col>12</xdr:col>
      <xdr:colOff>159468</xdr:colOff>
      <xdr:row>21</xdr:row>
      <xdr:rowOff>162650</xdr:rowOff>
    </xdr:to>
    <xdr:sp macro="" textlink="">
      <xdr:nvSpPr>
        <xdr:cNvPr id="84" name="Arc 7416">
          <a:extLst>
            <a:ext uri="{FF2B5EF4-FFF2-40B4-BE49-F238E27FC236}">
              <a16:creationId xmlns:a16="http://schemas.microsoft.com/office/drawing/2014/main" id="{1DD3326F-6DCC-4EEA-9DB2-E7A8B552F7C6}"/>
            </a:ext>
          </a:extLst>
        </xdr:cNvPr>
        <xdr:cNvSpPr>
          <a:spLocks/>
        </xdr:cNvSpPr>
      </xdr:nvSpPr>
      <xdr:spPr bwMode="auto">
        <a:xfrm>
          <a:off x="4019078" y="5150268"/>
          <a:ext cx="153590" cy="286057"/>
        </a:xfrm>
        <a:custGeom>
          <a:avLst/>
          <a:gdLst>
            <a:gd name="T0" fmla="*/ 2147483647 w 21666"/>
            <a:gd name="T1" fmla="*/ 0 h 43200"/>
            <a:gd name="T2" fmla="*/ 0 w 21666"/>
            <a:gd name="T3" fmla="*/ 2147483647 h 43200"/>
            <a:gd name="T4" fmla="*/ 2147483647 w 21666"/>
            <a:gd name="T5" fmla="*/ 2147483647 h 43200"/>
            <a:gd name="T6" fmla="*/ 0 60000 65536"/>
            <a:gd name="T7" fmla="*/ 0 60000 65536"/>
            <a:gd name="T8" fmla="*/ 0 60000 6553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0" t="0" r="r" b="b"/>
          <a:pathLst>
            <a:path w="21666" h="43200" fill="none" extrusionOk="0">
              <a:moveTo>
                <a:pt x="66" y="0"/>
              </a:moveTo>
              <a:cubicBezTo>
                <a:pt x="11995" y="0"/>
                <a:pt x="21666" y="9670"/>
                <a:pt x="21666" y="21600"/>
              </a:cubicBezTo>
              <a:cubicBezTo>
                <a:pt x="21666" y="33529"/>
                <a:pt x="11995" y="43200"/>
                <a:pt x="66" y="43200"/>
              </a:cubicBezTo>
              <a:cubicBezTo>
                <a:pt x="44" y="43200"/>
                <a:pt x="22" y="43199"/>
                <a:pt x="0" y="43199"/>
              </a:cubicBezTo>
            </a:path>
            <a:path w="21666" h="43200" stroke="0" extrusionOk="0">
              <a:moveTo>
                <a:pt x="66" y="0"/>
              </a:moveTo>
              <a:cubicBezTo>
                <a:pt x="11995" y="0"/>
                <a:pt x="21666" y="9670"/>
                <a:pt x="21666" y="21600"/>
              </a:cubicBezTo>
              <a:cubicBezTo>
                <a:pt x="21666" y="33529"/>
                <a:pt x="11995" y="43200"/>
                <a:pt x="66" y="43200"/>
              </a:cubicBezTo>
              <a:cubicBezTo>
                <a:pt x="44" y="43200"/>
                <a:pt x="22" y="43199"/>
                <a:pt x="0" y="43199"/>
              </a:cubicBezTo>
              <a:lnTo>
                <a:pt x="66" y="21600"/>
              </a:lnTo>
              <a:lnTo>
                <a:pt x="66" y="0"/>
              </a:lnTo>
              <a:close/>
            </a:path>
          </a:pathLst>
        </a:custGeom>
        <a:noFill/>
        <a:ln w="9525">
          <a:solidFill>
            <a:sysClr val="windowText" lastClr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/>
  </xdr:twoCellAnchor>
  <xdr:twoCellAnchor>
    <xdr:from>
      <xdr:col>12</xdr:col>
      <xdr:colOff>5277</xdr:colOff>
      <xdr:row>21</xdr:row>
      <xdr:rowOff>168944</xdr:rowOff>
    </xdr:from>
    <xdr:to>
      <xdr:col>12</xdr:col>
      <xdr:colOff>5277</xdr:colOff>
      <xdr:row>26</xdr:row>
      <xdr:rowOff>69944</xdr:rowOff>
    </xdr:to>
    <xdr:sp macro="" textlink="">
      <xdr:nvSpPr>
        <xdr:cNvPr id="85" name="Line 24">
          <a:extLst>
            <a:ext uri="{FF2B5EF4-FFF2-40B4-BE49-F238E27FC236}">
              <a16:creationId xmlns:a16="http://schemas.microsoft.com/office/drawing/2014/main" id="{F4232779-3054-410E-BD82-03359B13B771}"/>
            </a:ext>
          </a:extLst>
        </xdr:cNvPr>
        <xdr:cNvSpPr>
          <a:spLocks noChangeShapeType="1"/>
        </xdr:cNvSpPr>
      </xdr:nvSpPr>
      <xdr:spPr bwMode="auto">
        <a:xfrm>
          <a:off x="4018477" y="5445794"/>
          <a:ext cx="0" cy="1040825"/>
        </a:xfrm>
        <a:prstGeom prst="line">
          <a:avLst/>
        </a:prstGeom>
        <a:noFill/>
        <a:ln w="9525">
          <a:solidFill>
            <a:sysClr val="windowText" lastClr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6491</xdr:colOff>
      <xdr:row>20</xdr:row>
      <xdr:rowOff>123213</xdr:rowOff>
    </xdr:from>
    <xdr:to>
      <xdr:col>13</xdr:col>
      <xdr:colOff>144131</xdr:colOff>
      <xdr:row>21</xdr:row>
      <xdr:rowOff>180670</xdr:rowOff>
    </xdr:to>
    <xdr:sp macro="" textlink="">
      <xdr:nvSpPr>
        <xdr:cNvPr id="86" name="Arc 7424">
          <a:extLst>
            <a:ext uri="{FF2B5EF4-FFF2-40B4-BE49-F238E27FC236}">
              <a16:creationId xmlns:a16="http://schemas.microsoft.com/office/drawing/2014/main" id="{FFFD0E87-889E-49A5-8A9E-5A0E5B29CC00}"/>
            </a:ext>
          </a:extLst>
        </xdr:cNvPr>
        <xdr:cNvSpPr>
          <a:spLocks/>
        </xdr:cNvSpPr>
      </xdr:nvSpPr>
      <xdr:spPr bwMode="auto">
        <a:xfrm>
          <a:off x="4324491" y="5174638"/>
          <a:ext cx="131290" cy="286057"/>
        </a:xfrm>
        <a:custGeom>
          <a:avLst/>
          <a:gdLst>
            <a:gd name="T0" fmla="*/ 2147483647 w 21666"/>
            <a:gd name="T1" fmla="*/ 0 h 43200"/>
            <a:gd name="T2" fmla="*/ 0 w 21666"/>
            <a:gd name="T3" fmla="*/ 2147483647 h 43200"/>
            <a:gd name="T4" fmla="*/ 2147483647 w 21666"/>
            <a:gd name="T5" fmla="*/ 2147483647 h 43200"/>
            <a:gd name="T6" fmla="*/ 0 60000 65536"/>
            <a:gd name="T7" fmla="*/ 0 60000 65536"/>
            <a:gd name="T8" fmla="*/ 0 60000 6553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0" t="0" r="r" b="b"/>
          <a:pathLst>
            <a:path w="21666" h="43200" fill="none" extrusionOk="0">
              <a:moveTo>
                <a:pt x="66" y="0"/>
              </a:moveTo>
              <a:cubicBezTo>
                <a:pt x="11995" y="0"/>
                <a:pt x="21666" y="9670"/>
                <a:pt x="21666" y="21600"/>
              </a:cubicBezTo>
              <a:cubicBezTo>
                <a:pt x="21666" y="33529"/>
                <a:pt x="11995" y="43200"/>
                <a:pt x="66" y="43200"/>
              </a:cubicBezTo>
              <a:cubicBezTo>
                <a:pt x="44" y="43200"/>
                <a:pt x="22" y="43199"/>
                <a:pt x="0" y="43199"/>
              </a:cubicBezTo>
            </a:path>
            <a:path w="21666" h="43200" stroke="0" extrusionOk="0">
              <a:moveTo>
                <a:pt x="66" y="0"/>
              </a:moveTo>
              <a:cubicBezTo>
                <a:pt x="11995" y="0"/>
                <a:pt x="21666" y="9670"/>
                <a:pt x="21666" y="21600"/>
              </a:cubicBezTo>
              <a:cubicBezTo>
                <a:pt x="21666" y="33529"/>
                <a:pt x="11995" y="43200"/>
                <a:pt x="66" y="43200"/>
              </a:cubicBezTo>
              <a:cubicBezTo>
                <a:pt x="44" y="43200"/>
                <a:pt x="22" y="43199"/>
                <a:pt x="0" y="43199"/>
              </a:cubicBezTo>
              <a:lnTo>
                <a:pt x="66" y="21600"/>
              </a:lnTo>
              <a:lnTo>
                <a:pt x="66" y="0"/>
              </a:lnTo>
              <a:close/>
            </a:path>
          </a:pathLst>
        </a:custGeom>
        <a:noFill/>
        <a:ln w="9525">
          <a:solidFill>
            <a:sysClr val="windowText" lastClr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/>
  </xdr:twoCellAnchor>
  <xdr:twoCellAnchor>
    <xdr:from>
      <xdr:col>12</xdr:col>
      <xdr:colOff>333578</xdr:colOff>
      <xdr:row>21</xdr:row>
      <xdr:rowOff>178252</xdr:rowOff>
    </xdr:from>
    <xdr:to>
      <xdr:col>12</xdr:col>
      <xdr:colOff>333578</xdr:colOff>
      <xdr:row>26</xdr:row>
      <xdr:rowOff>86579</xdr:rowOff>
    </xdr:to>
    <xdr:sp macro="" textlink="">
      <xdr:nvSpPr>
        <xdr:cNvPr id="87" name="Line 24">
          <a:extLst>
            <a:ext uri="{FF2B5EF4-FFF2-40B4-BE49-F238E27FC236}">
              <a16:creationId xmlns:a16="http://schemas.microsoft.com/office/drawing/2014/main" id="{ED0BDAC9-45DD-46FB-912A-36FA29414A56}"/>
            </a:ext>
          </a:extLst>
        </xdr:cNvPr>
        <xdr:cNvSpPr>
          <a:spLocks noChangeShapeType="1"/>
        </xdr:cNvSpPr>
      </xdr:nvSpPr>
      <xdr:spPr bwMode="auto">
        <a:xfrm>
          <a:off x="4311853" y="5458277"/>
          <a:ext cx="0" cy="1044977"/>
        </a:xfrm>
        <a:prstGeom prst="line">
          <a:avLst/>
        </a:prstGeom>
        <a:noFill/>
        <a:ln w="9525">
          <a:solidFill>
            <a:sysClr val="windowText" lastClr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289258</xdr:colOff>
      <xdr:row>21</xdr:row>
      <xdr:rowOff>174387</xdr:rowOff>
    </xdr:from>
    <xdr:to>
      <xdr:col>9</xdr:col>
      <xdr:colOff>289258</xdr:colOff>
      <xdr:row>26</xdr:row>
      <xdr:rowOff>111387</xdr:rowOff>
    </xdr:to>
    <xdr:sp macro="" textlink="">
      <xdr:nvSpPr>
        <xdr:cNvPr id="89" name="Line 24">
          <a:extLst>
            <a:ext uri="{FF2B5EF4-FFF2-40B4-BE49-F238E27FC236}">
              <a16:creationId xmlns:a16="http://schemas.microsoft.com/office/drawing/2014/main" id="{683B04F6-A8B4-4F8E-BF4C-7D64F8718C91}"/>
            </a:ext>
          </a:extLst>
        </xdr:cNvPr>
        <xdr:cNvSpPr>
          <a:spLocks noChangeShapeType="1"/>
        </xdr:cNvSpPr>
      </xdr:nvSpPr>
      <xdr:spPr bwMode="auto">
        <a:xfrm flipH="1">
          <a:off x="3264233" y="5451237"/>
          <a:ext cx="0" cy="1080000"/>
        </a:xfrm>
        <a:prstGeom prst="line">
          <a:avLst/>
        </a:prstGeom>
        <a:noFill/>
        <a:ln w="9525">
          <a:solidFill>
            <a:sysClr val="windowText" lastClr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40</xdr:col>
      <xdr:colOff>12057</xdr:colOff>
      <xdr:row>11</xdr:row>
      <xdr:rowOff>20778</xdr:rowOff>
    </xdr:from>
    <xdr:to>
      <xdr:col>40</xdr:col>
      <xdr:colOff>12057</xdr:colOff>
      <xdr:row>23</xdr:row>
      <xdr:rowOff>21986</xdr:rowOff>
    </xdr:to>
    <xdr:sp macro="" textlink="">
      <xdr:nvSpPr>
        <xdr:cNvPr id="90" name="Line 26">
          <a:extLst>
            <a:ext uri="{FF2B5EF4-FFF2-40B4-BE49-F238E27FC236}">
              <a16:creationId xmlns:a16="http://schemas.microsoft.com/office/drawing/2014/main" id="{C42219E7-823D-4EFE-AA3C-08F032372478}"/>
            </a:ext>
          </a:extLst>
        </xdr:cNvPr>
        <xdr:cNvSpPr>
          <a:spLocks noChangeShapeType="1"/>
        </xdr:cNvSpPr>
      </xdr:nvSpPr>
      <xdr:spPr bwMode="auto">
        <a:xfrm>
          <a:off x="16810982" y="2897328"/>
          <a:ext cx="0" cy="2858708"/>
        </a:xfrm>
        <a:prstGeom prst="line">
          <a:avLst/>
        </a:prstGeom>
        <a:noFill/>
        <a:ln w="9525">
          <a:solidFill>
            <a:sysClr val="windowText" lastClr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2360</xdr:colOff>
      <xdr:row>26</xdr:row>
      <xdr:rowOff>81564</xdr:rowOff>
    </xdr:from>
    <xdr:to>
      <xdr:col>13</xdr:col>
      <xdr:colOff>141987</xdr:colOff>
      <xdr:row>27</xdr:row>
      <xdr:rowOff>139020</xdr:rowOff>
    </xdr:to>
    <xdr:sp macro="" textlink="">
      <xdr:nvSpPr>
        <xdr:cNvPr id="94" name="Arc 7424">
          <a:extLst>
            <a:ext uri="{FF2B5EF4-FFF2-40B4-BE49-F238E27FC236}">
              <a16:creationId xmlns:a16="http://schemas.microsoft.com/office/drawing/2014/main" id="{9D2F6F2D-A3A5-40F8-BD21-18714334B193}"/>
            </a:ext>
          </a:extLst>
        </xdr:cNvPr>
        <xdr:cNvSpPr>
          <a:spLocks/>
        </xdr:cNvSpPr>
      </xdr:nvSpPr>
      <xdr:spPr bwMode="auto">
        <a:xfrm>
          <a:off x="4317185" y="6504589"/>
          <a:ext cx="142802" cy="286056"/>
        </a:xfrm>
        <a:custGeom>
          <a:avLst/>
          <a:gdLst>
            <a:gd name="T0" fmla="*/ 2147483647 w 21666"/>
            <a:gd name="T1" fmla="*/ 0 h 43200"/>
            <a:gd name="T2" fmla="*/ 0 w 21666"/>
            <a:gd name="T3" fmla="*/ 2147483647 h 43200"/>
            <a:gd name="T4" fmla="*/ 2147483647 w 21666"/>
            <a:gd name="T5" fmla="*/ 2147483647 h 43200"/>
            <a:gd name="T6" fmla="*/ 0 60000 65536"/>
            <a:gd name="T7" fmla="*/ 0 60000 65536"/>
            <a:gd name="T8" fmla="*/ 0 60000 6553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0" t="0" r="r" b="b"/>
          <a:pathLst>
            <a:path w="21666" h="43200" fill="none" extrusionOk="0">
              <a:moveTo>
                <a:pt x="66" y="0"/>
              </a:moveTo>
              <a:cubicBezTo>
                <a:pt x="11995" y="0"/>
                <a:pt x="21666" y="9670"/>
                <a:pt x="21666" y="21600"/>
              </a:cubicBezTo>
              <a:cubicBezTo>
                <a:pt x="21666" y="33529"/>
                <a:pt x="11995" y="43200"/>
                <a:pt x="66" y="43200"/>
              </a:cubicBezTo>
              <a:cubicBezTo>
                <a:pt x="44" y="43200"/>
                <a:pt x="22" y="43199"/>
                <a:pt x="0" y="43199"/>
              </a:cubicBezTo>
            </a:path>
            <a:path w="21666" h="43200" stroke="0" extrusionOk="0">
              <a:moveTo>
                <a:pt x="66" y="0"/>
              </a:moveTo>
              <a:cubicBezTo>
                <a:pt x="11995" y="0"/>
                <a:pt x="21666" y="9670"/>
                <a:pt x="21666" y="21600"/>
              </a:cubicBezTo>
              <a:cubicBezTo>
                <a:pt x="21666" y="33529"/>
                <a:pt x="11995" y="43200"/>
                <a:pt x="66" y="43200"/>
              </a:cubicBezTo>
              <a:cubicBezTo>
                <a:pt x="44" y="43200"/>
                <a:pt x="22" y="43199"/>
                <a:pt x="0" y="43199"/>
              </a:cubicBezTo>
              <a:lnTo>
                <a:pt x="66" y="21600"/>
              </a:lnTo>
              <a:lnTo>
                <a:pt x="66" y="0"/>
              </a:lnTo>
              <a:close/>
            </a:path>
          </a:pathLst>
        </a:custGeom>
        <a:noFill/>
        <a:ln w="9525">
          <a:solidFill>
            <a:sysClr val="windowText" lastClr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/>
  </xdr:twoCellAnchor>
  <xdr:twoCellAnchor>
    <xdr:from>
      <xdr:col>13</xdr:col>
      <xdr:colOff>12834</xdr:colOff>
      <xdr:row>10</xdr:row>
      <xdr:rowOff>113392</xdr:rowOff>
    </xdr:from>
    <xdr:to>
      <xdr:col>13</xdr:col>
      <xdr:colOff>155636</xdr:colOff>
      <xdr:row>11</xdr:row>
      <xdr:rowOff>164524</xdr:rowOff>
    </xdr:to>
    <xdr:sp macro="" textlink="">
      <xdr:nvSpPr>
        <xdr:cNvPr id="95" name="Arc 7424">
          <a:extLst>
            <a:ext uri="{FF2B5EF4-FFF2-40B4-BE49-F238E27FC236}">
              <a16:creationId xmlns:a16="http://schemas.microsoft.com/office/drawing/2014/main" id="{084930C9-719A-46E3-8E6E-784CD75498B9}"/>
            </a:ext>
          </a:extLst>
        </xdr:cNvPr>
        <xdr:cNvSpPr>
          <a:spLocks/>
        </xdr:cNvSpPr>
      </xdr:nvSpPr>
      <xdr:spPr bwMode="auto">
        <a:xfrm>
          <a:off x="4324484" y="2761342"/>
          <a:ext cx="149152" cy="276557"/>
        </a:xfrm>
        <a:custGeom>
          <a:avLst/>
          <a:gdLst>
            <a:gd name="T0" fmla="*/ 2147483647 w 21666"/>
            <a:gd name="T1" fmla="*/ 0 h 43200"/>
            <a:gd name="T2" fmla="*/ 0 w 21666"/>
            <a:gd name="T3" fmla="*/ 2147483647 h 43200"/>
            <a:gd name="T4" fmla="*/ 2147483647 w 21666"/>
            <a:gd name="T5" fmla="*/ 2147483647 h 43200"/>
            <a:gd name="T6" fmla="*/ 0 60000 65536"/>
            <a:gd name="T7" fmla="*/ 0 60000 65536"/>
            <a:gd name="T8" fmla="*/ 0 60000 6553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0" t="0" r="r" b="b"/>
          <a:pathLst>
            <a:path w="21666" h="43200" fill="none" extrusionOk="0">
              <a:moveTo>
                <a:pt x="66" y="0"/>
              </a:moveTo>
              <a:cubicBezTo>
                <a:pt x="11995" y="0"/>
                <a:pt x="21666" y="9670"/>
                <a:pt x="21666" y="21600"/>
              </a:cubicBezTo>
              <a:cubicBezTo>
                <a:pt x="21666" y="33529"/>
                <a:pt x="11995" y="43200"/>
                <a:pt x="66" y="43200"/>
              </a:cubicBezTo>
              <a:cubicBezTo>
                <a:pt x="44" y="43200"/>
                <a:pt x="22" y="43199"/>
                <a:pt x="0" y="43199"/>
              </a:cubicBezTo>
            </a:path>
            <a:path w="21666" h="43200" stroke="0" extrusionOk="0">
              <a:moveTo>
                <a:pt x="66" y="0"/>
              </a:moveTo>
              <a:cubicBezTo>
                <a:pt x="11995" y="0"/>
                <a:pt x="21666" y="9670"/>
                <a:pt x="21666" y="21600"/>
              </a:cubicBezTo>
              <a:cubicBezTo>
                <a:pt x="21666" y="33529"/>
                <a:pt x="11995" y="43200"/>
                <a:pt x="66" y="43200"/>
              </a:cubicBezTo>
              <a:cubicBezTo>
                <a:pt x="44" y="43200"/>
                <a:pt x="22" y="43199"/>
                <a:pt x="0" y="43199"/>
              </a:cubicBezTo>
              <a:lnTo>
                <a:pt x="66" y="21600"/>
              </a:lnTo>
              <a:lnTo>
                <a:pt x="66" y="0"/>
              </a:lnTo>
              <a:close/>
            </a:path>
          </a:pathLst>
        </a:custGeom>
        <a:noFill/>
        <a:ln w="9525">
          <a:solidFill>
            <a:sysClr val="windowText" lastClr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/>
  </xdr:twoCellAnchor>
  <xdr:twoCellAnchor>
    <xdr:from>
      <xdr:col>12</xdr:col>
      <xdr:colOff>5277</xdr:colOff>
      <xdr:row>10</xdr:row>
      <xdr:rowOff>227346</xdr:rowOff>
    </xdr:from>
    <xdr:to>
      <xdr:col>12</xdr:col>
      <xdr:colOff>5277</xdr:colOff>
      <xdr:row>20</xdr:row>
      <xdr:rowOff>98803</xdr:rowOff>
    </xdr:to>
    <xdr:sp macro="" textlink="">
      <xdr:nvSpPr>
        <xdr:cNvPr id="100" name="Line 6">
          <a:extLst>
            <a:ext uri="{FF2B5EF4-FFF2-40B4-BE49-F238E27FC236}">
              <a16:creationId xmlns:a16="http://schemas.microsoft.com/office/drawing/2014/main" id="{6592A417-9BB6-4EBC-8761-9732BF9021AE}"/>
            </a:ext>
          </a:extLst>
        </xdr:cNvPr>
        <xdr:cNvSpPr>
          <a:spLocks noChangeShapeType="1"/>
        </xdr:cNvSpPr>
      </xdr:nvSpPr>
      <xdr:spPr bwMode="auto">
        <a:xfrm flipV="1">
          <a:off x="4018477" y="2875296"/>
          <a:ext cx="0" cy="2274932"/>
        </a:xfrm>
        <a:prstGeom prst="line">
          <a:avLst/>
        </a:prstGeom>
        <a:noFill/>
        <a:ln w="9525">
          <a:solidFill>
            <a:sysClr val="windowText" lastClr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289258</xdr:colOff>
      <xdr:row>34</xdr:row>
      <xdr:rowOff>150461</xdr:rowOff>
    </xdr:from>
    <xdr:to>
      <xdr:col>10</xdr:col>
      <xdr:colOff>150623</xdr:colOff>
      <xdr:row>35</xdr:row>
      <xdr:rowOff>207918</xdr:rowOff>
    </xdr:to>
    <xdr:sp macro="" textlink="">
      <xdr:nvSpPr>
        <xdr:cNvPr id="101" name="Arc 7416">
          <a:extLst>
            <a:ext uri="{FF2B5EF4-FFF2-40B4-BE49-F238E27FC236}">
              <a16:creationId xmlns:a16="http://schemas.microsoft.com/office/drawing/2014/main" id="{13AD527C-0F56-4A3D-BB57-ACABB1327C85}"/>
            </a:ext>
          </a:extLst>
        </xdr:cNvPr>
        <xdr:cNvSpPr>
          <a:spLocks/>
        </xdr:cNvSpPr>
      </xdr:nvSpPr>
      <xdr:spPr bwMode="auto">
        <a:xfrm>
          <a:off x="3264233" y="8399111"/>
          <a:ext cx="153465" cy="286057"/>
        </a:xfrm>
        <a:custGeom>
          <a:avLst/>
          <a:gdLst>
            <a:gd name="T0" fmla="*/ 2147483647 w 21666"/>
            <a:gd name="T1" fmla="*/ 0 h 43200"/>
            <a:gd name="T2" fmla="*/ 0 w 21666"/>
            <a:gd name="T3" fmla="*/ 2147483647 h 43200"/>
            <a:gd name="T4" fmla="*/ 2147483647 w 21666"/>
            <a:gd name="T5" fmla="*/ 2147483647 h 43200"/>
            <a:gd name="T6" fmla="*/ 0 60000 65536"/>
            <a:gd name="T7" fmla="*/ 0 60000 65536"/>
            <a:gd name="T8" fmla="*/ 0 60000 6553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0" t="0" r="r" b="b"/>
          <a:pathLst>
            <a:path w="21666" h="43200" fill="none" extrusionOk="0">
              <a:moveTo>
                <a:pt x="66" y="0"/>
              </a:moveTo>
              <a:cubicBezTo>
                <a:pt x="11995" y="0"/>
                <a:pt x="21666" y="9670"/>
                <a:pt x="21666" y="21600"/>
              </a:cubicBezTo>
              <a:cubicBezTo>
                <a:pt x="21666" y="33529"/>
                <a:pt x="11995" y="43200"/>
                <a:pt x="66" y="43200"/>
              </a:cubicBezTo>
              <a:cubicBezTo>
                <a:pt x="44" y="43200"/>
                <a:pt x="22" y="43199"/>
                <a:pt x="0" y="43199"/>
              </a:cubicBezTo>
            </a:path>
            <a:path w="21666" h="43200" stroke="0" extrusionOk="0">
              <a:moveTo>
                <a:pt x="66" y="0"/>
              </a:moveTo>
              <a:cubicBezTo>
                <a:pt x="11995" y="0"/>
                <a:pt x="21666" y="9670"/>
                <a:pt x="21666" y="21600"/>
              </a:cubicBezTo>
              <a:cubicBezTo>
                <a:pt x="21666" y="33529"/>
                <a:pt x="11995" y="43200"/>
                <a:pt x="66" y="43200"/>
              </a:cubicBezTo>
              <a:cubicBezTo>
                <a:pt x="44" y="43200"/>
                <a:pt x="22" y="43199"/>
                <a:pt x="0" y="43199"/>
              </a:cubicBezTo>
              <a:lnTo>
                <a:pt x="66" y="21600"/>
              </a:lnTo>
              <a:lnTo>
                <a:pt x="66" y="0"/>
              </a:lnTo>
              <a:close/>
            </a:path>
          </a:pathLst>
        </a:custGeom>
        <a:noFill/>
        <a:ln w="9525">
          <a:solidFill>
            <a:sysClr val="windowText" lastClr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/>
  </xdr:twoCellAnchor>
  <xdr:twoCellAnchor>
    <xdr:from>
      <xdr:col>5</xdr:col>
      <xdr:colOff>333375</xdr:colOff>
      <xdr:row>11</xdr:row>
      <xdr:rowOff>9594</xdr:rowOff>
    </xdr:from>
    <xdr:to>
      <xdr:col>5</xdr:col>
      <xdr:colOff>334156</xdr:colOff>
      <xdr:row>13</xdr:row>
      <xdr:rowOff>254794</xdr:rowOff>
    </xdr:to>
    <xdr:sp macro="" textlink="">
      <xdr:nvSpPr>
        <xdr:cNvPr id="102" name="Line 50">
          <a:extLst>
            <a:ext uri="{FF2B5EF4-FFF2-40B4-BE49-F238E27FC236}">
              <a16:creationId xmlns:a16="http://schemas.microsoft.com/office/drawing/2014/main" id="{270364D4-28B5-4274-9D19-DBFBC4F261A6}"/>
            </a:ext>
          </a:extLst>
        </xdr:cNvPr>
        <xdr:cNvSpPr>
          <a:spLocks noChangeShapeType="1"/>
        </xdr:cNvSpPr>
      </xdr:nvSpPr>
      <xdr:spPr bwMode="auto">
        <a:xfrm flipH="1">
          <a:off x="1892300" y="2882969"/>
          <a:ext cx="781" cy="727800"/>
        </a:xfrm>
        <a:prstGeom prst="line">
          <a:avLst/>
        </a:prstGeom>
        <a:noFill/>
        <a:ln w="9525">
          <a:solidFill>
            <a:sysClr val="windowText" lastClr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289258</xdr:colOff>
      <xdr:row>20</xdr:row>
      <xdr:rowOff>108368</xdr:rowOff>
    </xdr:from>
    <xdr:to>
      <xdr:col>10</xdr:col>
      <xdr:colOff>151495</xdr:colOff>
      <xdr:row>21</xdr:row>
      <xdr:rowOff>165825</xdr:rowOff>
    </xdr:to>
    <xdr:sp macro="" textlink="">
      <xdr:nvSpPr>
        <xdr:cNvPr id="103" name="Arc 7416">
          <a:extLst>
            <a:ext uri="{FF2B5EF4-FFF2-40B4-BE49-F238E27FC236}">
              <a16:creationId xmlns:a16="http://schemas.microsoft.com/office/drawing/2014/main" id="{F981308C-3104-46CF-898C-DF08FA7D7E89}"/>
            </a:ext>
          </a:extLst>
        </xdr:cNvPr>
        <xdr:cNvSpPr>
          <a:spLocks/>
        </xdr:cNvSpPr>
      </xdr:nvSpPr>
      <xdr:spPr bwMode="auto">
        <a:xfrm>
          <a:off x="3264233" y="5153443"/>
          <a:ext cx="154337" cy="286057"/>
        </a:xfrm>
        <a:custGeom>
          <a:avLst/>
          <a:gdLst>
            <a:gd name="T0" fmla="*/ 2147483647 w 21666"/>
            <a:gd name="T1" fmla="*/ 0 h 43200"/>
            <a:gd name="T2" fmla="*/ 0 w 21666"/>
            <a:gd name="T3" fmla="*/ 2147483647 h 43200"/>
            <a:gd name="T4" fmla="*/ 2147483647 w 21666"/>
            <a:gd name="T5" fmla="*/ 2147483647 h 43200"/>
            <a:gd name="T6" fmla="*/ 0 60000 65536"/>
            <a:gd name="T7" fmla="*/ 0 60000 65536"/>
            <a:gd name="T8" fmla="*/ 0 60000 6553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0" t="0" r="r" b="b"/>
          <a:pathLst>
            <a:path w="21666" h="43200" fill="none" extrusionOk="0">
              <a:moveTo>
                <a:pt x="66" y="0"/>
              </a:moveTo>
              <a:cubicBezTo>
                <a:pt x="11995" y="0"/>
                <a:pt x="21666" y="9670"/>
                <a:pt x="21666" y="21600"/>
              </a:cubicBezTo>
              <a:cubicBezTo>
                <a:pt x="21666" y="33529"/>
                <a:pt x="11995" y="43200"/>
                <a:pt x="66" y="43200"/>
              </a:cubicBezTo>
              <a:cubicBezTo>
                <a:pt x="44" y="43200"/>
                <a:pt x="22" y="43199"/>
                <a:pt x="0" y="43199"/>
              </a:cubicBezTo>
            </a:path>
            <a:path w="21666" h="43200" stroke="0" extrusionOk="0">
              <a:moveTo>
                <a:pt x="66" y="0"/>
              </a:moveTo>
              <a:cubicBezTo>
                <a:pt x="11995" y="0"/>
                <a:pt x="21666" y="9670"/>
                <a:pt x="21666" y="21600"/>
              </a:cubicBezTo>
              <a:cubicBezTo>
                <a:pt x="21666" y="33529"/>
                <a:pt x="11995" y="43200"/>
                <a:pt x="66" y="43200"/>
              </a:cubicBezTo>
              <a:cubicBezTo>
                <a:pt x="44" y="43200"/>
                <a:pt x="22" y="43199"/>
                <a:pt x="0" y="43199"/>
              </a:cubicBezTo>
              <a:lnTo>
                <a:pt x="66" y="21600"/>
              </a:lnTo>
              <a:lnTo>
                <a:pt x="66" y="0"/>
              </a:lnTo>
              <a:close/>
            </a:path>
          </a:pathLst>
        </a:custGeom>
        <a:noFill/>
        <a:ln w="9525">
          <a:solidFill>
            <a:sysClr val="windowText" lastClr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/>
  </xdr:twoCellAnchor>
  <xdr:twoCellAnchor>
    <xdr:from>
      <xdr:col>9</xdr:col>
      <xdr:colOff>289258</xdr:colOff>
      <xdr:row>7</xdr:row>
      <xdr:rowOff>5251</xdr:rowOff>
    </xdr:from>
    <xdr:to>
      <xdr:col>9</xdr:col>
      <xdr:colOff>289258</xdr:colOff>
      <xdr:row>11</xdr:row>
      <xdr:rowOff>6124</xdr:rowOff>
    </xdr:to>
    <xdr:sp macro="" textlink="">
      <xdr:nvSpPr>
        <xdr:cNvPr id="105" name="Line 32">
          <a:extLst>
            <a:ext uri="{FF2B5EF4-FFF2-40B4-BE49-F238E27FC236}">
              <a16:creationId xmlns:a16="http://schemas.microsoft.com/office/drawing/2014/main" id="{1C8E7B90-190E-4E4B-A636-DEC22194613B}"/>
            </a:ext>
          </a:extLst>
        </xdr:cNvPr>
        <xdr:cNvSpPr>
          <a:spLocks noChangeShapeType="1"/>
        </xdr:cNvSpPr>
      </xdr:nvSpPr>
      <xdr:spPr bwMode="auto">
        <a:xfrm flipV="1">
          <a:off x="3264233" y="2008676"/>
          <a:ext cx="0" cy="877173"/>
        </a:xfrm>
        <a:prstGeom prst="line">
          <a:avLst/>
        </a:prstGeom>
        <a:noFill/>
        <a:ln w="9525">
          <a:solidFill>
            <a:sysClr val="windowText" lastClr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289258</xdr:colOff>
      <xdr:row>26</xdr:row>
      <xdr:rowOff>118350</xdr:rowOff>
    </xdr:from>
    <xdr:to>
      <xdr:col>10</xdr:col>
      <xdr:colOff>150623</xdr:colOff>
      <xdr:row>27</xdr:row>
      <xdr:rowOff>175806</xdr:rowOff>
    </xdr:to>
    <xdr:sp macro="" textlink="">
      <xdr:nvSpPr>
        <xdr:cNvPr id="109" name="Arc 7416">
          <a:extLst>
            <a:ext uri="{FF2B5EF4-FFF2-40B4-BE49-F238E27FC236}">
              <a16:creationId xmlns:a16="http://schemas.microsoft.com/office/drawing/2014/main" id="{19F5E7DC-FB8D-4B59-978D-5492D03B5630}"/>
            </a:ext>
          </a:extLst>
        </xdr:cNvPr>
        <xdr:cNvSpPr>
          <a:spLocks/>
        </xdr:cNvSpPr>
      </xdr:nvSpPr>
      <xdr:spPr bwMode="auto">
        <a:xfrm>
          <a:off x="3264233" y="6541375"/>
          <a:ext cx="153465" cy="286056"/>
        </a:xfrm>
        <a:custGeom>
          <a:avLst/>
          <a:gdLst>
            <a:gd name="T0" fmla="*/ 2147483647 w 21666"/>
            <a:gd name="T1" fmla="*/ 0 h 43200"/>
            <a:gd name="T2" fmla="*/ 0 w 21666"/>
            <a:gd name="T3" fmla="*/ 2147483647 h 43200"/>
            <a:gd name="T4" fmla="*/ 2147483647 w 21666"/>
            <a:gd name="T5" fmla="*/ 2147483647 h 43200"/>
            <a:gd name="T6" fmla="*/ 0 60000 65536"/>
            <a:gd name="T7" fmla="*/ 0 60000 65536"/>
            <a:gd name="T8" fmla="*/ 0 60000 6553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0" t="0" r="r" b="b"/>
          <a:pathLst>
            <a:path w="21666" h="43200" fill="none" extrusionOk="0">
              <a:moveTo>
                <a:pt x="66" y="0"/>
              </a:moveTo>
              <a:cubicBezTo>
                <a:pt x="11995" y="0"/>
                <a:pt x="21666" y="9670"/>
                <a:pt x="21666" y="21600"/>
              </a:cubicBezTo>
              <a:cubicBezTo>
                <a:pt x="21666" y="33529"/>
                <a:pt x="11995" y="43200"/>
                <a:pt x="66" y="43200"/>
              </a:cubicBezTo>
              <a:cubicBezTo>
                <a:pt x="44" y="43200"/>
                <a:pt x="22" y="43199"/>
                <a:pt x="0" y="43199"/>
              </a:cubicBezTo>
            </a:path>
            <a:path w="21666" h="43200" stroke="0" extrusionOk="0">
              <a:moveTo>
                <a:pt x="66" y="0"/>
              </a:moveTo>
              <a:cubicBezTo>
                <a:pt x="11995" y="0"/>
                <a:pt x="21666" y="9670"/>
                <a:pt x="21666" y="21600"/>
              </a:cubicBezTo>
              <a:cubicBezTo>
                <a:pt x="21666" y="33529"/>
                <a:pt x="11995" y="43200"/>
                <a:pt x="66" y="43200"/>
              </a:cubicBezTo>
              <a:cubicBezTo>
                <a:pt x="44" y="43200"/>
                <a:pt x="22" y="43199"/>
                <a:pt x="0" y="43199"/>
              </a:cubicBezTo>
              <a:lnTo>
                <a:pt x="66" y="21600"/>
              </a:lnTo>
              <a:lnTo>
                <a:pt x="66" y="0"/>
              </a:lnTo>
              <a:close/>
            </a:path>
          </a:pathLst>
        </a:custGeom>
        <a:noFill/>
        <a:ln w="9525">
          <a:solidFill>
            <a:sysClr val="windowText" lastClr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/>
  </xdr:twoCellAnchor>
  <xdr:twoCellAnchor>
    <xdr:from>
      <xdr:col>13</xdr:col>
      <xdr:colOff>10643</xdr:colOff>
      <xdr:row>29</xdr:row>
      <xdr:rowOff>91200</xdr:rowOff>
    </xdr:from>
    <xdr:to>
      <xdr:col>13</xdr:col>
      <xdr:colOff>150270</xdr:colOff>
      <xdr:row>30</xdr:row>
      <xdr:rowOff>148656</xdr:rowOff>
    </xdr:to>
    <xdr:sp macro="" textlink="">
      <xdr:nvSpPr>
        <xdr:cNvPr id="110" name="Arc 7424">
          <a:extLst>
            <a:ext uri="{FF2B5EF4-FFF2-40B4-BE49-F238E27FC236}">
              <a16:creationId xmlns:a16="http://schemas.microsoft.com/office/drawing/2014/main" id="{A07383F7-7079-42F6-9DF6-1629ABE50C03}"/>
            </a:ext>
          </a:extLst>
        </xdr:cNvPr>
        <xdr:cNvSpPr>
          <a:spLocks/>
        </xdr:cNvSpPr>
      </xdr:nvSpPr>
      <xdr:spPr bwMode="auto">
        <a:xfrm>
          <a:off x="4322293" y="7193675"/>
          <a:ext cx="142802" cy="286056"/>
        </a:xfrm>
        <a:custGeom>
          <a:avLst/>
          <a:gdLst>
            <a:gd name="T0" fmla="*/ 2147483647 w 21666"/>
            <a:gd name="T1" fmla="*/ 0 h 43200"/>
            <a:gd name="T2" fmla="*/ 0 w 21666"/>
            <a:gd name="T3" fmla="*/ 2147483647 h 43200"/>
            <a:gd name="T4" fmla="*/ 2147483647 w 21666"/>
            <a:gd name="T5" fmla="*/ 2147483647 h 43200"/>
            <a:gd name="T6" fmla="*/ 0 60000 65536"/>
            <a:gd name="T7" fmla="*/ 0 60000 65536"/>
            <a:gd name="T8" fmla="*/ 0 60000 6553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0" t="0" r="r" b="b"/>
          <a:pathLst>
            <a:path w="21666" h="43200" fill="none" extrusionOk="0">
              <a:moveTo>
                <a:pt x="66" y="0"/>
              </a:moveTo>
              <a:cubicBezTo>
                <a:pt x="11995" y="0"/>
                <a:pt x="21666" y="9670"/>
                <a:pt x="21666" y="21600"/>
              </a:cubicBezTo>
              <a:cubicBezTo>
                <a:pt x="21666" y="33529"/>
                <a:pt x="11995" y="43200"/>
                <a:pt x="66" y="43200"/>
              </a:cubicBezTo>
              <a:cubicBezTo>
                <a:pt x="44" y="43200"/>
                <a:pt x="22" y="43199"/>
                <a:pt x="0" y="43199"/>
              </a:cubicBezTo>
            </a:path>
            <a:path w="21666" h="43200" stroke="0" extrusionOk="0">
              <a:moveTo>
                <a:pt x="66" y="0"/>
              </a:moveTo>
              <a:cubicBezTo>
                <a:pt x="11995" y="0"/>
                <a:pt x="21666" y="9670"/>
                <a:pt x="21666" y="21600"/>
              </a:cubicBezTo>
              <a:cubicBezTo>
                <a:pt x="21666" y="33529"/>
                <a:pt x="11995" y="43200"/>
                <a:pt x="66" y="43200"/>
              </a:cubicBezTo>
              <a:cubicBezTo>
                <a:pt x="44" y="43200"/>
                <a:pt x="22" y="43199"/>
                <a:pt x="0" y="43199"/>
              </a:cubicBezTo>
              <a:lnTo>
                <a:pt x="66" y="21600"/>
              </a:lnTo>
              <a:lnTo>
                <a:pt x="66" y="0"/>
              </a:lnTo>
              <a:close/>
            </a:path>
          </a:pathLst>
        </a:custGeom>
        <a:noFill/>
        <a:ln w="9525">
          <a:solidFill>
            <a:sysClr val="windowText" lastClr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/>
  </xdr:twoCellAnchor>
  <xdr:twoCellAnchor>
    <xdr:from>
      <xdr:col>9</xdr:col>
      <xdr:colOff>289258</xdr:colOff>
      <xdr:row>30</xdr:row>
      <xdr:rowOff>158157</xdr:rowOff>
    </xdr:from>
    <xdr:to>
      <xdr:col>9</xdr:col>
      <xdr:colOff>289258</xdr:colOff>
      <xdr:row>32</xdr:row>
      <xdr:rowOff>102054</xdr:rowOff>
    </xdr:to>
    <xdr:sp macro="" textlink="">
      <xdr:nvSpPr>
        <xdr:cNvPr id="111" name="Line 24">
          <a:extLst>
            <a:ext uri="{FF2B5EF4-FFF2-40B4-BE49-F238E27FC236}">
              <a16:creationId xmlns:a16="http://schemas.microsoft.com/office/drawing/2014/main" id="{40455CDD-E0B2-4903-A017-B0520712DAD5}"/>
            </a:ext>
          </a:extLst>
        </xdr:cNvPr>
        <xdr:cNvSpPr>
          <a:spLocks noChangeShapeType="1"/>
        </xdr:cNvSpPr>
      </xdr:nvSpPr>
      <xdr:spPr bwMode="auto">
        <a:xfrm>
          <a:off x="3264233" y="7495582"/>
          <a:ext cx="0" cy="401097"/>
        </a:xfrm>
        <a:prstGeom prst="line">
          <a:avLst/>
        </a:prstGeom>
        <a:noFill/>
        <a:ln w="9525">
          <a:solidFill>
            <a:sysClr val="windowText" lastClr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331788</xdr:colOff>
      <xdr:row>3</xdr:row>
      <xdr:rowOff>280988</xdr:rowOff>
    </xdr:from>
    <xdr:to>
      <xdr:col>5</xdr:col>
      <xdr:colOff>338138</xdr:colOff>
      <xdr:row>11</xdr:row>
      <xdr:rowOff>10319</xdr:rowOff>
    </xdr:to>
    <xdr:sp macro="" textlink="">
      <xdr:nvSpPr>
        <xdr:cNvPr id="112" name="Line 50">
          <a:extLst>
            <a:ext uri="{FF2B5EF4-FFF2-40B4-BE49-F238E27FC236}">
              <a16:creationId xmlns:a16="http://schemas.microsoft.com/office/drawing/2014/main" id="{247EAB35-EE2B-4353-9A50-A850A44238BB}"/>
            </a:ext>
          </a:extLst>
        </xdr:cNvPr>
        <xdr:cNvSpPr>
          <a:spLocks noChangeShapeType="1"/>
        </xdr:cNvSpPr>
      </xdr:nvSpPr>
      <xdr:spPr bwMode="auto">
        <a:xfrm flipH="1">
          <a:off x="1897063" y="1077913"/>
          <a:ext cx="0" cy="1805781"/>
        </a:xfrm>
        <a:prstGeom prst="line">
          <a:avLst/>
        </a:prstGeom>
        <a:noFill/>
        <a:ln w="9525">
          <a:solidFill>
            <a:sysClr val="windowText" lastClr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457185</xdr:colOff>
      <xdr:row>11</xdr:row>
      <xdr:rowOff>4189</xdr:rowOff>
    </xdr:from>
    <xdr:to>
      <xdr:col>14</xdr:col>
      <xdr:colOff>457185</xdr:colOff>
      <xdr:row>15</xdr:row>
      <xdr:rowOff>1788</xdr:rowOff>
    </xdr:to>
    <xdr:sp macro="" textlink="">
      <xdr:nvSpPr>
        <xdr:cNvPr id="113" name="Line 6">
          <a:extLst>
            <a:ext uri="{FF2B5EF4-FFF2-40B4-BE49-F238E27FC236}">
              <a16:creationId xmlns:a16="http://schemas.microsoft.com/office/drawing/2014/main" id="{1F41E7FB-EFCB-402F-9A8D-5B860B6978E4}"/>
            </a:ext>
          </a:extLst>
        </xdr:cNvPr>
        <xdr:cNvSpPr>
          <a:spLocks noChangeShapeType="1"/>
        </xdr:cNvSpPr>
      </xdr:nvSpPr>
      <xdr:spPr bwMode="auto">
        <a:xfrm flipV="1">
          <a:off x="5238735" y="2883914"/>
          <a:ext cx="0" cy="956449"/>
        </a:xfrm>
        <a:prstGeom prst="line">
          <a:avLst/>
        </a:prstGeom>
        <a:noFill/>
        <a:ln w="9525">
          <a:solidFill>
            <a:sysClr val="windowText" lastClr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215915</xdr:colOff>
      <xdr:row>20</xdr:row>
      <xdr:rowOff>6503</xdr:rowOff>
    </xdr:from>
    <xdr:to>
      <xdr:col>28</xdr:col>
      <xdr:colOff>304496</xdr:colOff>
      <xdr:row>20</xdr:row>
      <xdr:rowOff>6503</xdr:rowOff>
    </xdr:to>
    <xdr:sp macro="" textlink="">
      <xdr:nvSpPr>
        <xdr:cNvPr id="114" name="Line 9">
          <a:extLst>
            <a:ext uri="{FF2B5EF4-FFF2-40B4-BE49-F238E27FC236}">
              <a16:creationId xmlns:a16="http://schemas.microsoft.com/office/drawing/2014/main" id="{89F15A19-674C-4841-ACE0-814841EC4AC1}"/>
            </a:ext>
          </a:extLst>
        </xdr:cNvPr>
        <xdr:cNvSpPr>
          <a:spLocks noChangeShapeType="1"/>
        </xdr:cNvSpPr>
      </xdr:nvSpPr>
      <xdr:spPr bwMode="auto">
        <a:xfrm flipH="1">
          <a:off x="5000640" y="5057928"/>
          <a:ext cx="7934006" cy="0"/>
        </a:xfrm>
        <a:prstGeom prst="line">
          <a:avLst/>
        </a:prstGeom>
        <a:noFill/>
        <a:ln w="9525">
          <a:solidFill>
            <a:sysClr val="windowText" lastClr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297541</xdr:colOff>
      <xdr:row>13</xdr:row>
      <xdr:rowOff>213914</xdr:rowOff>
    </xdr:from>
    <xdr:to>
      <xdr:col>9</xdr:col>
      <xdr:colOff>297541</xdr:colOff>
      <xdr:row>20</xdr:row>
      <xdr:rowOff>113675</xdr:rowOff>
    </xdr:to>
    <xdr:sp macro="" textlink="">
      <xdr:nvSpPr>
        <xdr:cNvPr id="115" name="Line 24">
          <a:extLst>
            <a:ext uri="{FF2B5EF4-FFF2-40B4-BE49-F238E27FC236}">
              <a16:creationId xmlns:a16="http://schemas.microsoft.com/office/drawing/2014/main" id="{529FABC2-EFBE-429C-8BDF-15BF7E68FEE3}"/>
            </a:ext>
          </a:extLst>
        </xdr:cNvPr>
        <xdr:cNvSpPr>
          <a:spLocks noChangeShapeType="1"/>
        </xdr:cNvSpPr>
      </xdr:nvSpPr>
      <xdr:spPr bwMode="auto">
        <a:xfrm>
          <a:off x="3266166" y="3569889"/>
          <a:ext cx="0" cy="1592036"/>
        </a:xfrm>
        <a:prstGeom prst="line">
          <a:avLst/>
        </a:prstGeom>
        <a:noFill/>
        <a:ln w="9525">
          <a:solidFill>
            <a:sysClr val="windowText" lastClr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272143</xdr:colOff>
      <xdr:row>39</xdr:row>
      <xdr:rowOff>214</xdr:rowOff>
    </xdr:from>
    <xdr:to>
      <xdr:col>28</xdr:col>
      <xdr:colOff>16825</xdr:colOff>
      <xdr:row>39</xdr:row>
      <xdr:rowOff>2474</xdr:rowOff>
    </xdr:to>
    <xdr:sp macro="" textlink="">
      <xdr:nvSpPr>
        <xdr:cNvPr id="116" name="Line 25">
          <a:extLst>
            <a:ext uri="{FF2B5EF4-FFF2-40B4-BE49-F238E27FC236}">
              <a16:creationId xmlns:a16="http://schemas.microsoft.com/office/drawing/2014/main" id="{F0AE5DC3-3013-4F22-9518-7EDDE5E7CA24}"/>
            </a:ext>
          </a:extLst>
        </xdr:cNvPr>
        <xdr:cNvSpPr>
          <a:spLocks noChangeShapeType="1"/>
        </xdr:cNvSpPr>
      </xdr:nvSpPr>
      <xdr:spPr bwMode="auto">
        <a:xfrm flipV="1">
          <a:off x="3266168" y="9391864"/>
          <a:ext cx="9380807" cy="2260"/>
        </a:xfrm>
        <a:prstGeom prst="line">
          <a:avLst/>
        </a:prstGeom>
        <a:noFill/>
        <a:ln w="9525">
          <a:solidFill>
            <a:sysClr val="windowText" lastClr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zh-TW" altLang="en-US"/>
        </a:p>
      </xdr:txBody>
    </xdr:sp>
    <xdr:clientData/>
  </xdr:twoCellAnchor>
  <xdr:twoCellAnchor>
    <xdr:from>
      <xdr:col>32</xdr:col>
      <xdr:colOff>0</xdr:colOff>
      <xdr:row>23</xdr:row>
      <xdr:rowOff>0</xdr:rowOff>
    </xdr:from>
    <xdr:to>
      <xdr:col>32</xdr:col>
      <xdr:colOff>2930</xdr:colOff>
      <xdr:row>24</xdr:row>
      <xdr:rowOff>11723</xdr:rowOff>
    </xdr:to>
    <xdr:sp macro="" textlink="">
      <xdr:nvSpPr>
        <xdr:cNvPr id="117" name="Line 27">
          <a:extLst>
            <a:ext uri="{FF2B5EF4-FFF2-40B4-BE49-F238E27FC236}">
              <a16:creationId xmlns:a16="http://schemas.microsoft.com/office/drawing/2014/main" id="{165F98EA-CBED-41A6-A012-C7D2FE90CF62}"/>
            </a:ext>
          </a:extLst>
        </xdr:cNvPr>
        <xdr:cNvSpPr>
          <a:spLocks noChangeShapeType="1"/>
        </xdr:cNvSpPr>
      </xdr:nvSpPr>
      <xdr:spPr bwMode="auto">
        <a:xfrm>
          <a:off x="13849350" y="5734050"/>
          <a:ext cx="2930" cy="237148"/>
        </a:xfrm>
        <a:prstGeom prst="line">
          <a:avLst/>
        </a:prstGeom>
        <a:noFill/>
        <a:ln w="9525">
          <a:solidFill>
            <a:sysClr val="windowText" lastClr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32</xdr:col>
      <xdr:colOff>1</xdr:colOff>
      <xdr:row>24</xdr:row>
      <xdr:rowOff>0</xdr:rowOff>
    </xdr:from>
    <xdr:to>
      <xdr:col>37</xdr:col>
      <xdr:colOff>7621</xdr:colOff>
      <xdr:row>24</xdr:row>
      <xdr:rowOff>6591</xdr:rowOff>
    </xdr:to>
    <xdr:sp macro="" textlink="">
      <xdr:nvSpPr>
        <xdr:cNvPr id="118" name="Line 28">
          <a:extLst>
            <a:ext uri="{FF2B5EF4-FFF2-40B4-BE49-F238E27FC236}">
              <a16:creationId xmlns:a16="http://schemas.microsoft.com/office/drawing/2014/main" id="{4F54967A-9584-4608-A3EB-A7C95C7322E7}"/>
            </a:ext>
          </a:extLst>
        </xdr:cNvPr>
        <xdr:cNvSpPr>
          <a:spLocks noChangeShapeType="1"/>
        </xdr:cNvSpPr>
      </xdr:nvSpPr>
      <xdr:spPr bwMode="auto">
        <a:xfrm flipV="1">
          <a:off x="13849351" y="5962650"/>
          <a:ext cx="1906270" cy="9766"/>
        </a:xfrm>
        <a:prstGeom prst="line">
          <a:avLst/>
        </a:prstGeom>
        <a:noFill/>
        <a:ln w="9525">
          <a:solidFill>
            <a:sysClr val="windowText" lastClr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3594</xdr:colOff>
      <xdr:row>37</xdr:row>
      <xdr:rowOff>7188</xdr:rowOff>
    </xdr:from>
    <xdr:to>
      <xdr:col>23</xdr:col>
      <xdr:colOff>11058</xdr:colOff>
      <xdr:row>37</xdr:row>
      <xdr:rowOff>9579</xdr:rowOff>
    </xdr:to>
    <xdr:sp macro="" textlink="">
      <xdr:nvSpPr>
        <xdr:cNvPr id="119" name="Line 40">
          <a:extLst>
            <a:ext uri="{FF2B5EF4-FFF2-40B4-BE49-F238E27FC236}">
              <a16:creationId xmlns:a16="http://schemas.microsoft.com/office/drawing/2014/main" id="{1759276C-E008-4C11-98D7-D2EC64939E2A}"/>
            </a:ext>
          </a:extLst>
        </xdr:cNvPr>
        <xdr:cNvSpPr>
          <a:spLocks noChangeShapeType="1"/>
        </xdr:cNvSpPr>
      </xdr:nvSpPr>
      <xdr:spPr bwMode="auto">
        <a:xfrm>
          <a:off x="4016794" y="8944813"/>
          <a:ext cx="5544664" cy="0"/>
        </a:xfrm>
        <a:prstGeom prst="line">
          <a:avLst/>
        </a:prstGeom>
        <a:noFill/>
        <a:ln w="9525">
          <a:solidFill>
            <a:sysClr val="windowText" lastClr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34</xdr:col>
      <xdr:colOff>302418</xdr:colOff>
      <xdr:row>39</xdr:row>
      <xdr:rowOff>226218</xdr:rowOff>
    </xdr:from>
    <xdr:to>
      <xdr:col>34</xdr:col>
      <xdr:colOff>303209</xdr:colOff>
      <xdr:row>46</xdr:row>
      <xdr:rowOff>0</xdr:rowOff>
    </xdr:to>
    <xdr:sp macro="" textlink="">
      <xdr:nvSpPr>
        <xdr:cNvPr id="120" name="Line 42">
          <a:extLst>
            <a:ext uri="{FF2B5EF4-FFF2-40B4-BE49-F238E27FC236}">
              <a16:creationId xmlns:a16="http://schemas.microsoft.com/office/drawing/2014/main" id="{C657E4B9-274C-423C-8CF2-266C93FAB473}"/>
            </a:ext>
          </a:extLst>
        </xdr:cNvPr>
        <xdr:cNvSpPr>
          <a:spLocks noChangeShapeType="1"/>
        </xdr:cNvSpPr>
      </xdr:nvSpPr>
      <xdr:spPr bwMode="auto">
        <a:xfrm flipH="1">
          <a:off x="14856618" y="9617868"/>
          <a:ext cx="791" cy="1373982"/>
        </a:xfrm>
        <a:prstGeom prst="line">
          <a:avLst/>
        </a:prstGeom>
        <a:noFill/>
        <a:ln w="9525">
          <a:solidFill>
            <a:sysClr val="windowText" lastClr="000000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31</xdr:col>
      <xdr:colOff>150356</xdr:colOff>
      <xdr:row>14</xdr:row>
      <xdr:rowOff>6700</xdr:rowOff>
    </xdr:from>
    <xdr:to>
      <xdr:col>37</xdr:col>
      <xdr:colOff>43</xdr:colOff>
      <xdr:row>14</xdr:row>
      <xdr:rowOff>6796</xdr:rowOff>
    </xdr:to>
    <xdr:sp macro="" textlink="">
      <xdr:nvSpPr>
        <xdr:cNvPr id="121" name="Line 52">
          <a:extLst>
            <a:ext uri="{FF2B5EF4-FFF2-40B4-BE49-F238E27FC236}">
              <a16:creationId xmlns:a16="http://schemas.microsoft.com/office/drawing/2014/main" id="{36BBA61A-8A70-475D-847A-B7DD8566FC97}"/>
            </a:ext>
          </a:extLst>
        </xdr:cNvPr>
        <xdr:cNvSpPr>
          <a:spLocks noChangeShapeType="1"/>
        </xdr:cNvSpPr>
      </xdr:nvSpPr>
      <xdr:spPr bwMode="auto">
        <a:xfrm flipV="1">
          <a:off x="13702687" y="3618151"/>
          <a:ext cx="2055194" cy="96"/>
        </a:xfrm>
        <a:prstGeom prst="line">
          <a:avLst/>
        </a:prstGeom>
        <a:noFill/>
        <a:ln w="9525">
          <a:solidFill>
            <a:sysClr val="windowText" lastClr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602030</xdr:colOff>
      <xdr:row>35</xdr:row>
      <xdr:rowOff>15042</xdr:rowOff>
    </xdr:from>
    <xdr:to>
      <xdr:col>26</xdr:col>
      <xdr:colOff>602030</xdr:colOff>
      <xdr:row>36</xdr:row>
      <xdr:rowOff>82146</xdr:rowOff>
    </xdr:to>
    <xdr:sp macro="" textlink="">
      <xdr:nvSpPr>
        <xdr:cNvPr id="122" name="Line 77">
          <a:extLst>
            <a:ext uri="{FF2B5EF4-FFF2-40B4-BE49-F238E27FC236}">
              <a16:creationId xmlns:a16="http://schemas.microsoft.com/office/drawing/2014/main" id="{37878273-1779-4612-AF01-97092B021BDC}"/>
            </a:ext>
          </a:extLst>
        </xdr:cNvPr>
        <xdr:cNvSpPr>
          <a:spLocks noChangeShapeType="1"/>
        </xdr:cNvSpPr>
      </xdr:nvSpPr>
      <xdr:spPr bwMode="auto">
        <a:xfrm flipV="1">
          <a:off x="12038380" y="8489117"/>
          <a:ext cx="0" cy="302054"/>
        </a:xfrm>
        <a:prstGeom prst="line">
          <a:avLst/>
        </a:prstGeom>
        <a:noFill/>
        <a:ln w="9525">
          <a:solidFill>
            <a:sysClr val="windowText" lastClr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4322</xdr:colOff>
      <xdr:row>34</xdr:row>
      <xdr:rowOff>227938</xdr:rowOff>
    </xdr:from>
    <xdr:to>
      <xdr:col>28</xdr:col>
      <xdr:colOff>304535</xdr:colOff>
      <xdr:row>34</xdr:row>
      <xdr:rowOff>227938</xdr:rowOff>
    </xdr:to>
    <xdr:sp macro="" textlink="">
      <xdr:nvSpPr>
        <xdr:cNvPr id="123" name="Line 78">
          <a:extLst>
            <a:ext uri="{FF2B5EF4-FFF2-40B4-BE49-F238E27FC236}">
              <a16:creationId xmlns:a16="http://schemas.microsoft.com/office/drawing/2014/main" id="{05C2CE15-1CDF-48EE-BDF5-A20EAB8F0259}"/>
            </a:ext>
          </a:extLst>
        </xdr:cNvPr>
        <xdr:cNvSpPr>
          <a:spLocks noChangeShapeType="1"/>
        </xdr:cNvSpPr>
      </xdr:nvSpPr>
      <xdr:spPr bwMode="auto">
        <a:xfrm>
          <a:off x="12043922" y="8476588"/>
          <a:ext cx="890763" cy="0"/>
        </a:xfrm>
        <a:prstGeom prst="line">
          <a:avLst/>
        </a:prstGeom>
        <a:noFill/>
        <a:ln w="9525">
          <a:solidFill>
            <a:sysClr val="windowText" lastClr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602030</xdr:colOff>
      <xdr:row>36</xdr:row>
      <xdr:rowOff>82146</xdr:rowOff>
    </xdr:from>
    <xdr:to>
      <xdr:col>27</xdr:col>
      <xdr:colOff>631762</xdr:colOff>
      <xdr:row>36</xdr:row>
      <xdr:rowOff>82146</xdr:rowOff>
    </xdr:to>
    <xdr:sp macro="" textlink="">
      <xdr:nvSpPr>
        <xdr:cNvPr id="124" name="Line 79">
          <a:extLst>
            <a:ext uri="{FF2B5EF4-FFF2-40B4-BE49-F238E27FC236}">
              <a16:creationId xmlns:a16="http://schemas.microsoft.com/office/drawing/2014/main" id="{90775624-87F7-488A-BFFB-8E7B5CA600F4}"/>
            </a:ext>
          </a:extLst>
        </xdr:cNvPr>
        <xdr:cNvSpPr>
          <a:spLocks noChangeShapeType="1"/>
        </xdr:cNvSpPr>
      </xdr:nvSpPr>
      <xdr:spPr bwMode="auto">
        <a:xfrm>
          <a:off x="12038380" y="8791171"/>
          <a:ext cx="594882" cy="0"/>
        </a:xfrm>
        <a:prstGeom prst="line">
          <a:avLst/>
        </a:prstGeom>
        <a:noFill/>
        <a:ln w="9525">
          <a:solidFill>
            <a:sysClr val="windowText" lastClr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29</xdr:col>
      <xdr:colOff>795</xdr:colOff>
      <xdr:row>34</xdr:row>
      <xdr:rowOff>223176</xdr:rowOff>
    </xdr:from>
    <xdr:to>
      <xdr:col>29</xdr:col>
      <xdr:colOff>2472</xdr:colOff>
      <xdr:row>36</xdr:row>
      <xdr:rowOff>3176</xdr:rowOff>
    </xdr:to>
    <xdr:sp macro="" textlink="">
      <xdr:nvSpPr>
        <xdr:cNvPr id="125" name="Line 80">
          <a:extLst>
            <a:ext uri="{FF2B5EF4-FFF2-40B4-BE49-F238E27FC236}">
              <a16:creationId xmlns:a16="http://schemas.microsoft.com/office/drawing/2014/main" id="{91BD0CE6-F5A6-4075-8FF2-9D9FB17677AF}"/>
            </a:ext>
          </a:extLst>
        </xdr:cNvPr>
        <xdr:cNvSpPr>
          <a:spLocks noChangeShapeType="1"/>
        </xdr:cNvSpPr>
      </xdr:nvSpPr>
      <xdr:spPr bwMode="auto">
        <a:xfrm flipH="1">
          <a:off x="12935745" y="8471826"/>
          <a:ext cx="1677" cy="237200"/>
        </a:xfrm>
        <a:prstGeom prst="line">
          <a:avLst/>
        </a:prstGeom>
        <a:noFill/>
        <a:ln w="9525">
          <a:solidFill>
            <a:sysClr val="windowText" lastClr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557213</xdr:colOff>
      <xdr:row>5</xdr:row>
      <xdr:rowOff>104775</xdr:rowOff>
    </xdr:from>
    <xdr:to>
      <xdr:col>31</xdr:col>
      <xdr:colOff>221</xdr:colOff>
      <xdr:row>5</xdr:row>
      <xdr:rowOff>111630</xdr:rowOff>
    </xdr:to>
    <xdr:sp macro="" textlink="">
      <xdr:nvSpPr>
        <xdr:cNvPr id="126" name="Line 9">
          <a:extLst>
            <a:ext uri="{FF2B5EF4-FFF2-40B4-BE49-F238E27FC236}">
              <a16:creationId xmlns:a16="http://schemas.microsoft.com/office/drawing/2014/main" id="{AD8B3AC8-5F99-48AD-AE87-369306C8288C}"/>
            </a:ext>
          </a:extLst>
        </xdr:cNvPr>
        <xdr:cNvSpPr>
          <a:spLocks noChangeShapeType="1"/>
        </xdr:cNvSpPr>
      </xdr:nvSpPr>
      <xdr:spPr bwMode="auto">
        <a:xfrm flipH="1" flipV="1">
          <a:off x="5341938" y="1635125"/>
          <a:ext cx="8202833" cy="10030"/>
        </a:xfrm>
        <a:prstGeom prst="line">
          <a:avLst/>
        </a:prstGeom>
        <a:noFill/>
        <a:ln w="9525">
          <a:solidFill>
            <a:sysClr val="windowText" lastClr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294640</xdr:colOff>
      <xdr:row>35</xdr:row>
      <xdr:rowOff>2540</xdr:rowOff>
    </xdr:from>
    <xdr:to>
      <xdr:col>23</xdr:col>
      <xdr:colOff>12328</xdr:colOff>
      <xdr:row>35</xdr:row>
      <xdr:rowOff>4233</xdr:rowOff>
    </xdr:to>
    <xdr:sp macro="" textlink="">
      <xdr:nvSpPr>
        <xdr:cNvPr id="128" name="Line 46">
          <a:extLst>
            <a:ext uri="{FF2B5EF4-FFF2-40B4-BE49-F238E27FC236}">
              <a16:creationId xmlns:a16="http://schemas.microsoft.com/office/drawing/2014/main" id="{F754E873-DA69-474A-81A6-B9F9E2DB4756}"/>
            </a:ext>
          </a:extLst>
        </xdr:cNvPr>
        <xdr:cNvSpPr>
          <a:spLocks noChangeShapeType="1"/>
        </xdr:cNvSpPr>
      </xdr:nvSpPr>
      <xdr:spPr bwMode="auto">
        <a:xfrm>
          <a:off x="1555115" y="8479790"/>
          <a:ext cx="8007613" cy="4868"/>
        </a:xfrm>
        <a:prstGeom prst="line">
          <a:avLst/>
        </a:prstGeom>
        <a:noFill/>
        <a:ln w="9525">
          <a:solidFill>
            <a:sysClr val="windowText" lastClr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940634</xdr:colOff>
      <xdr:row>19</xdr:row>
      <xdr:rowOff>71378</xdr:rowOff>
    </xdr:from>
    <xdr:to>
      <xdr:col>22</xdr:col>
      <xdr:colOff>167876</xdr:colOff>
      <xdr:row>20</xdr:row>
      <xdr:rowOff>205153</xdr:rowOff>
    </xdr:to>
    <xdr:sp macro="" textlink="">
      <xdr:nvSpPr>
        <xdr:cNvPr id="129" name="Arc 7413">
          <a:extLst>
            <a:ext uri="{FF2B5EF4-FFF2-40B4-BE49-F238E27FC236}">
              <a16:creationId xmlns:a16="http://schemas.microsoft.com/office/drawing/2014/main" id="{34FC2BDD-1C88-4D29-9571-7B321CB88AB6}"/>
            </a:ext>
          </a:extLst>
        </xdr:cNvPr>
        <xdr:cNvSpPr>
          <a:spLocks/>
        </xdr:cNvSpPr>
      </xdr:nvSpPr>
      <xdr:spPr bwMode="auto">
        <a:xfrm>
          <a:off x="8944809" y="4887853"/>
          <a:ext cx="163867" cy="362375"/>
        </a:xfrm>
        <a:custGeom>
          <a:avLst/>
          <a:gdLst>
            <a:gd name="T0" fmla="*/ 0 w 23017"/>
            <a:gd name="T1" fmla="*/ 2147483647 h 43200"/>
            <a:gd name="T2" fmla="*/ 2147483647 w 23017"/>
            <a:gd name="T3" fmla="*/ 2147483647 h 43200"/>
            <a:gd name="T4" fmla="*/ 2147483647 w 23017"/>
            <a:gd name="T5" fmla="*/ 2147483647 h 43200"/>
            <a:gd name="T6" fmla="*/ 0 60000 65536"/>
            <a:gd name="T7" fmla="*/ 0 60000 65536"/>
            <a:gd name="T8" fmla="*/ 0 60000 6553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0" t="0" r="r" b="b"/>
          <a:pathLst>
            <a:path w="23017" h="43200" fill="none" extrusionOk="0">
              <a:moveTo>
                <a:pt x="-1" y="46"/>
              </a:moveTo>
              <a:cubicBezTo>
                <a:pt x="471" y="15"/>
                <a:pt x="944" y="-1"/>
                <a:pt x="1417" y="0"/>
              </a:cubicBezTo>
              <a:cubicBezTo>
                <a:pt x="13346" y="0"/>
                <a:pt x="23017" y="9670"/>
                <a:pt x="23017" y="21600"/>
              </a:cubicBezTo>
              <a:cubicBezTo>
                <a:pt x="23017" y="33529"/>
                <a:pt x="13346" y="43200"/>
                <a:pt x="1417" y="43200"/>
              </a:cubicBezTo>
              <a:cubicBezTo>
                <a:pt x="1395" y="43200"/>
                <a:pt x="1373" y="43199"/>
                <a:pt x="1351" y="43199"/>
              </a:cubicBezTo>
            </a:path>
            <a:path w="23017" h="43200" stroke="0" extrusionOk="0">
              <a:moveTo>
                <a:pt x="-1" y="46"/>
              </a:moveTo>
              <a:cubicBezTo>
                <a:pt x="471" y="15"/>
                <a:pt x="944" y="-1"/>
                <a:pt x="1417" y="0"/>
              </a:cubicBezTo>
              <a:cubicBezTo>
                <a:pt x="13346" y="0"/>
                <a:pt x="23017" y="9670"/>
                <a:pt x="23017" y="21600"/>
              </a:cubicBezTo>
              <a:cubicBezTo>
                <a:pt x="23017" y="33529"/>
                <a:pt x="13346" y="43200"/>
                <a:pt x="1417" y="43200"/>
              </a:cubicBezTo>
              <a:cubicBezTo>
                <a:pt x="1395" y="43200"/>
                <a:pt x="1373" y="43199"/>
                <a:pt x="1351" y="43199"/>
              </a:cubicBezTo>
              <a:lnTo>
                <a:pt x="1417" y="21600"/>
              </a:lnTo>
              <a:lnTo>
                <a:pt x="-1" y="46"/>
              </a:lnTo>
              <a:close/>
            </a:path>
          </a:pathLst>
        </a:custGeom>
        <a:noFill/>
        <a:ln w="9525">
          <a:solidFill>
            <a:sysClr val="windowText" lastClr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/>
  </xdr:twoCellAnchor>
  <xdr:twoCellAnchor>
    <xdr:from>
      <xdr:col>12</xdr:col>
      <xdr:colOff>5277</xdr:colOff>
      <xdr:row>34</xdr:row>
      <xdr:rowOff>140960</xdr:rowOff>
    </xdr:from>
    <xdr:to>
      <xdr:col>12</xdr:col>
      <xdr:colOff>158867</xdr:colOff>
      <xdr:row>35</xdr:row>
      <xdr:rowOff>198417</xdr:rowOff>
    </xdr:to>
    <xdr:sp macro="" textlink="">
      <xdr:nvSpPr>
        <xdr:cNvPr id="130" name="Arc 7417">
          <a:extLst>
            <a:ext uri="{FF2B5EF4-FFF2-40B4-BE49-F238E27FC236}">
              <a16:creationId xmlns:a16="http://schemas.microsoft.com/office/drawing/2014/main" id="{30A948E2-7251-4D86-8B8E-4CE0CE0E5D33}"/>
            </a:ext>
          </a:extLst>
        </xdr:cNvPr>
        <xdr:cNvSpPr>
          <a:spLocks/>
        </xdr:cNvSpPr>
      </xdr:nvSpPr>
      <xdr:spPr bwMode="auto">
        <a:xfrm>
          <a:off x="4018477" y="8392785"/>
          <a:ext cx="153590" cy="286057"/>
        </a:xfrm>
        <a:custGeom>
          <a:avLst/>
          <a:gdLst>
            <a:gd name="T0" fmla="*/ 2147483647 w 21666"/>
            <a:gd name="T1" fmla="*/ 0 h 43200"/>
            <a:gd name="T2" fmla="*/ 0 w 21666"/>
            <a:gd name="T3" fmla="*/ 2147483647 h 43200"/>
            <a:gd name="T4" fmla="*/ 2147483647 w 21666"/>
            <a:gd name="T5" fmla="*/ 2147483647 h 43200"/>
            <a:gd name="T6" fmla="*/ 0 60000 65536"/>
            <a:gd name="T7" fmla="*/ 0 60000 65536"/>
            <a:gd name="T8" fmla="*/ 0 60000 6553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0" t="0" r="r" b="b"/>
          <a:pathLst>
            <a:path w="21666" h="43200" fill="none" extrusionOk="0">
              <a:moveTo>
                <a:pt x="66" y="0"/>
              </a:moveTo>
              <a:cubicBezTo>
                <a:pt x="11995" y="0"/>
                <a:pt x="21666" y="9670"/>
                <a:pt x="21666" y="21600"/>
              </a:cubicBezTo>
              <a:cubicBezTo>
                <a:pt x="21666" y="33529"/>
                <a:pt x="11995" y="43200"/>
                <a:pt x="66" y="43200"/>
              </a:cubicBezTo>
              <a:cubicBezTo>
                <a:pt x="44" y="43200"/>
                <a:pt x="22" y="43199"/>
                <a:pt x="0" y="43199"/>
              </a:cubicBezTo>
            </a:path>
            <a:path w="21666" h="43200" stroke="0" extrusionOk="0">
              <a:moveTo>
                <a:pt x="66" y="0"/>
              </a:moveTo>
              <a:cubicBezTo>
                <a:pt x="11995" y="0"/>
                <a:pt x="21666" y="9670"/>
                <a:pt x="21666" y="21600"/>
              </a:cubicBezTo>
              <a:cubicBezTo>
                <a:pt x="21666" y="33529"/>
                <a:pt x="11995" y="43200"/>
                <a:pt x="66" y="43200"/>
              </a:cubicBezTo>
              <a:cubicBezTo>
                <a:pt x="44" y="43200"/>
                <a:pt x="22" y="43199"/>
                <a:pt x="0" y="43199"/>
              </a:cubicBezTo>
              <a:lnTo>
                <a:pt x="66" y="21600"/>
              </a:lnTo>
              <a:lnTo>
                <a:pt x="66" y="0"/>
              </a:lnTo>
              <a:close/>
            </a:path>
          </a:pathLst>
        </a:custGeom>
        <a:noFill/>
        <a:ln w="9525">
          <a:solidFill>
            <a:sysClr val="windowText" lastClr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/>
  </xdr:twoCellAnchor>
  <xdr:twoCellAnchor>
    <xdr:from>
      <xdr:col>12</xdr:col>
      <xdr:colOff>5277</xdr:colOff>
      <xdr:row>29</xdr:row>
      <xdr:rowOff>81699</xdr:rowOff>
    </xdr:from>
    <xdr:to>
      <xdr:col>12</xdr:col>
      <xdr:colOff>158867</xdr:colOff>
      <xdr:row>30</xdr:row>
      <xdr:rowOff>139155</xdr:rowOff>
    </xdr:to>
    <xdr:sp macro="" textlink="">
      <xdr:nvSpPr>
        <xdr:cNvPr id="131" name="Arc 7420">
          <a:extLst>
            <a:ext uri="{FF2B5EF4-FFF2-40B4-BE49-F238E27FC236}">
              <a16:creationId xmlns:a16="http://schemas.microsoft.com/office/drawing/2014/main" id="{0657A8D1-A38C-471F-B634-539F86A35DCB}"/>
            </a:ext>
          </a:extLst>
        </xdr:cNvPr>
        <xdr:cNvSpPr>
          <a:spLocks/>
        </xdr:cNvSpPr>
      </xdr:nvSpPr>
      <xdr:spPr bwMode="auto">
        <a:xfrm>
          <a:off x="4018477" y="7190524"/>
          <a:ext cx="153590" cy="286056"/>
        </a:xfrm>
        <a:custGeom>
          <a:avLst/>
          <a:gdLst>
            <a:gd name="T0" fmla="*/ 2147483647 w 21666"/>
            <a:gd name="T1" fmla="*/ 0 h 43200"/>
            <a:gd name="T2" fmla="*/ 0 w 21666"/>
            <a:gd name="T3" fmla="*/ 2147483647 h 43200"/>
            <a:gd name="T4" fmla="*/ 2147483647 w 21666"/>
            <a:gd name="T5" fmla="*/ 2147483647 h 43200"/>
            <a:gd name="T6" fmla="*/ 0 60000 65536"/>
            <a:gd name="T7" fmla="*/ 0 60000 65536"/>
            <a:gd name="T8" fmla="*/ 0 60000 6553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0" t="0" r="r" b="b"/>
          <a:pathLst>
            <a:path w="21666" h="43200" fill="none" extrusionOk="0">
              <a:moveTo>
                <a:pt x="66" y="0"/>
              </a:moveTo>
              <a:cubicBezTo>
                <a:pt x="11995" y="0"/>
                <a:pt x="21666" y="9670"/>
                <a:pt x="21666" y="21600"/>
              </a:cubicBezTo>
              <a:cubicBezTo>
                <a:pt x="21666" y="33529"/>
                <a:pt x="11995" y="43200"/>
                <a:pt x="66" y="43200"/>
              </a:cubicBezTo>
              <a:cubicBezTo>
                <a:pt x="44" y="43200"/>
                <a:pt x="22" y="43199"/>
                <a:pt x="0" y="43199"/>
              </a:cubicBezTo>
            </a:path>
            <a:path w="21666" h="43200" stroke="0" extrusionOk="0">
              <a:moveTo>
                <a:pt x="66" y="0"/>
              </a:moveTo>
              <a:cubicBezTo>
                <a:pt x="11995" y="0"/>
                <a:pt x="21666" y="9670"/>
                <a:pt x="21666" y="21600"/>
              </a:cubicBezTo>
              <a:cubicBezTo>
                <a:pt x="21666" y="33529"/>
                <a:pt x="11995" y="43200"/>
                <a:pt x="66" y="43200"/>
              </a:cubicBezTo>
              <a:cubicBezTo>
                <a:pt x="44" y="43200"/>
                <a:pt x="22" y="43199"/>
                <a:pt x="0" y="43199"/>
              </a:cubicBezTo>
              <a:lnTo>
                <a:pt x="66" y="21600"/>
              </a:lnTo>
              <a:lnTo>
                <a:pt x="66" y="0"/>
              </a:lnTo>
              <a:close/>
            </a:path>
          </a:pathLst>
        </a:custGeom>
        <a:noFill/>
        <a:ln w="9525">
          <a:solidFill>
            <a:sysClr val="windowText" lastClr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/>
  </xdr:twoCellAnchor>
  <xdr:twoCellAnchor>
    <xdr:from>
      <xdr:col>12</xdr:col>
      <xdr:colOff>5277</xdr:colOff>
      <xdr:row>39</xdr:row>
      <xdr:rowOff>162217</xdr:rowOff>
    </xdr:from>
    <xdr:to>
      <xdr:col>12</xdr:col>
      <xdr:colOff>5277</xdr:colOff>
      <xdr:row>49</xdr:row>
      <xdr:rowOff>27647</xdr:rowOff>
    </xdr:to>
    <xdr:sp macro="" textlink="">
      <xdr:nvSpPr>
        <xdr:cNvPr id="132" name="Line 7423">
          <a:extLst>
            <a:ext uri="{FF2B5EF4-FFF2-40B4-BE49-F238E27FC236}">
              <a16:creationId xmlns:a16="http://schemas.microsoft.com/office/drawing/2014/main" id="{1C8AFC3E-F895-44CA-985B-0325E87FA22D}"/>
            </a:ext>
          </a:extLst>
        </xdr:cNvPr>
        <xdr:cNvSpPr>
          <a:spLocks noChangeShapeType="1"/>
        </xdr:cNvSpPr>
      </xdr:nvSpPr>
      <xdr:spPr bwMode="auto">
        <a:xfrm>
          <a:off x="4018477" y="9550692"/>
          <a:ext cx="0" cy="2138730"/>
        </a:xfrm>
        <a:prstGeom prst="line">
          <a:avLst/>
        </a:prstGeom>
        <a:noFill/>
        <a:ln w="9525">
          <a:solidFill>
            <a:sysClr val="windowText" lastClr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304799</xdr:colOff>
      <xdr:row>39</xdr:row>
      <xdr:rowOff>144461</xdr:rowOff>
    </xdr:from>
    <xdr:to>
      <xdr:col>13</xdr:col>
      <xdr:colOff>1586</xdr:colOff>
      <xdr:row>41</xdr:row>
      <xdr:rowOff>11905</xdr:rowOff>
    </xdr:to>
    <xdr:sp macro="" textlink="">
      <xdr:nvSpPr>
        <xdr:cNvPr id="133" name="Line 32">
          <a:extLst>
            <a:ext uri="{FF2B5EF4-FFF2-40B4-BE49-F238E27FC236}">
              <a16:creationId xmlns:a16="http://schemas.microsoft.com/office/drawing/2014/main" id="{30BC09B5-9748-4E31-889A-9C4F2F1A0E3B}"/>
            </a:ext>
          </a:extLst>
        </xdr:cNvPr>
        <xdr:cNvSpPr>
          <a:spLocks noChangeShapeType="1"/>
        </xdr:cNvSpPr>
      </xdr:nvSpPr>
      <xdr:spPr bwMode="auto">
        <a:xfrm flipV="1">
          <a:off x="4314824" y="9532936"/>
          <a:ext cx="1587" cy="324644"/>
        </a:xfrm>
        <a:prstGeom prst="line">
          <a:avLst/>
        </a:prstGeom>
        <a:noFill/>
        <a:ln w="9525">
          <a:solidFill>
            <a:sysClr val="windowText" lastClr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289258</xdr:colOff>
      <xdr:row>33</xdr:row>
      <xdr:rowOff>150010</xdr:rowOff>
    </xdr:from>
    <xdr:to>
      <xdr:col>9</xdr:col>
      <xdr:colOff>289258</xdr:colOff>
      <xdr:row>34</xdr:row>
      <xdr:rowOff>150461</xdr:rowOff>
    </xdr:to>
    <xdr:sp macro="" textlink="">
      <xdr:nvSpPr>
        <xdr:cNvPr id="134" name="Line 24">
          <a:extLst>
            <a:ext uri="{FF2B5EF4-FFF2-40B4-BE49-F238E27FC236}">
              <a16:creationId xmlns:a16="http://schemas.microsoft.com/office/drawing/2014/main" id="{6D89B31F-CDBD-42FA-821A-24F8D8BDA5D5}"/>
            </a:ext>
          </a:extLst>
        </xdr:cNvPr>
        <xdr:cNvSpPr>
          <a:spLocks noChangeShapeType="1"/>
        </xdr:cNvSpPr>
      </xdr:nvSpPr>
      <xdr:spPr bwMode="auto">
        <a:xfrm>
          <a:off x="3264233" y="8170060"/>
          <a:ext cx="0" cy="229051"/>
        </a:xfrm>
        <a:prstGeom prst="line">
          <a:avLst/>
        </a:prstGeom>
        <a:noFill/>
        <a:ln w="9525">
          <a:solidFill>
            <a:sysClr val="windowText" lastClr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26987</xdr:colOff>
      <xdr:row>4</xdr:row>
      <xdr:rowOff>4763</xdr:rowOff>
    </xdr:from>
    <xdr:to>
      <xdr:col>4</xdr:col>
      <xdr:colOff>28574</xdr:colOff>
      <xdr:row>11</xdr:row>
      <xdr:rowOff>6350</xdr:rowOff>
    </xdr:to>
    <xdr:sp macro="" textlink="">
      <xdr:nvSpPr>
        <xdr:cNvPr id="135" name="Line 50">
          <a:extLst>
            <a:ext uri="{FF2B5EF4-FFF2-40B4-BE49-F238E27FC236}">
              <a16:creationId xmlns:a16="http://schemas.microsoft.com/office/drawing/2014/main" id="{99A4D885-1726-49C3-BE9C-522B83987C66}"/>
            </a:ext>
          </a:extLst>
        </xdr:cNvPr>
        <xdr:cNvSpPr>
          <a:spLocks noChangeShapeType="1"/>
        </xdr:cNvSpPr>
      </xdr:nvSpPr>
      <xdr:spPr bwMode="auto">
        <a:xfrm flipH="1">
          <a:off x="1287462" y="1093788"/>
          <a:ext cx="1587" cy="1792287"/>
        </a:xfrm>
        <a:prstGeom prst="line">
          <a:avLst/>
        </a:prstGeom>
        <a:noFill/>
        <a:ln w="9525">
          <a:solidFill>
            <a:sysClr val="windowText" lastClr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2381</xdr:colOff>
      <xdr:row>19</xdr:row>
      <xdr:rowOff>68474</xdr:rowOff>
    </xdr:from>
    <xdr:to>
      <xdr:col>19</xdr:col>
      <xdr:colOff>135797</xdr:colOff>
      <xdr:row>20</xdr:row>
      <xdr:rowOff>127001</xdr:rowOff>
    </xdr:to>
    <xdr:sp macro="" textlink="">
      <xdr:nvSpPr>
        <xdr:cNvPr id="136" name="Arc 7413">
          <a:extLst>
            <a:ext uri="{FF2B5EF4-FFF2-40B4-BE49-F238E27FC236}">
              <a16:creationId xmlns:a16="http://schemas.microsoft.com/office/drawing/2014/main" id="{372882A6-3CBA-465B-9AF4-026270BEB57C}"/>
            </a:ext>
          </a:extLst>
        </xdr:cNvPr>
        <xdr:cNvSpPr>
          <a:spLocks/>
        </xdr:cNvSpPr>
      </xdr:nvSpPr>
      <xdr:spPr bwMode="auto">
        <a:xfrm>
          <a:off x="7327106" y="4884949"/>
          <a:ext cx="133416" cy="287127"/>
        </a:xfrm>
        <a:custGeom>
          <a:avLst/>
          <a:gdLst>
            <a:gd name="T0" fmla="*/ 0 w 23017"/>
            <a:gd name="T1" fmla="*/ 2147483647 h 43200"/>
            <a:gd name="T2" fmla="*/ 2147483647 w 23017"/>
            <a:gd name="T3" fmla="*/ 2147483647 h 43200"/>
            <a:gd name="T4" fmla="*/ 2147483647 w 23017"/>
            <a:gd name="T5" fmla="*/ 2147483647 h 43200"/>
            <a:gd name="T6" fmla="*/ 0 60000 65536"/>
            <a:gd name="T7" fmla="*/ 0 60000 65536"/>
            <a:gd name="T8" fmla="*/ 0 60000 6553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0" t="0" r="r" b="b"/>
          <a:pathLst>
            <a:path w="23017" h="43200" fill="none" extrusionOk="0">
              <a:moveTo>
                <a:pt x="-1" y="46"/>
              </a:moveTo>
              <a:cubicBezTo>
                <a:pt x="471" y="15"/>
                <a:pt x="944" y="-1"/>
                <a:pt x="1417" y="0"/>
              </a:cubicBezTo>
              <a:cubicBezTo>
                <a:pt x="13346" y="0"/>
                <a:pt x="23017" y="9670"/>
                <a:pt x="23017" y="21600"/>
              </a:cubicBezTo>
              <a:cubicBezTo>
                <a:pt x="23017" y="33529"/>
                <a:pt x="13346" y="43200"/>
                <a:pt x="1417" y="43200"/>
              </a:cubicBezTo>
              <a:cubicBezTo>
                <a:pt x="1395" y="43200"/>
                <a:pt x="1373" y="43199"/>
                <a:pt x="1351" y="43199"/>
              </a:cubicBezTo>
            </a:path>
            <a:path w="23017" h="43200" stroke="0" extrusionOk="0">
              <a:moveTo>
                <a:pt x="-1" y="46"/>
              </a:moveTo>
              <a:cubicBezTo>
                <a:pt x="471" y="15"/>
                <a:pt x="944" y="-1"/>
                <a:pt x="1417" y="0"/>
              </a:cubicBezTo>
              <a:cubicBezTo>
                <a:pt x="13346" y="0"/>
                <a:pt x="23017" y="9670"/>
                <a:pt x="23017" y="21600"/>
              </a:cubicBezTo>
              <a:cubicBezTo>
                <a:pt x="23017" y="33529"/>
                <a:pt x="13346" y="43200"/>
                <a:pt x="1417" y="43200"/>
              </a:cubicBezTo>
              <a:cubicBezTo>
                <a:pt x="1395" y="43200"/>
                <a:pt x="1373" y="43199"/>
                <a:pt x="1351" y="43199"/>
              </a:cubicBezTo>
              <a:lnTo>
                <a:pt x="1417" y="21600"/>
              </a:lnTo>
              <a:lnTo>
                <a:pt x="-1" y="46"/>
              </a:lnTo>
              <a:close/>
            </a:path>
          </a:pathLst>
        </a:custGeom>
        <a:noFill/>
        <a:ln w="9525">
          <a:solidFill>
            <a:sysClr val="windowText" lastClr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/>
  </xdr:twoCellAnchor>
  <xdr:twoCellAnchor>
    <xdr:from>
      <xdr:col>18</xdr:col>
      <xdr:colOff>325055</xdr:colOff>
      <xdr:row>14</xdr:row>
      <xdr:rowOff>90597</xdr:rowOff>
    </xdr:from>
    <xdr:to>
      <xdr:col>19</xdr:col>
      <xdr:colOff>147704</xdr:colOff>
      <xdr:row>15</xdr:row>
      <xdr:rowOff>148062</xdr:rowOff>
    </xdr:to>
    <xdr:sp macro="" textlink="">
      <xdr:nvSpPr>
        <xdr:cNvPr id="137" name="Arc 7413">
          <a:extLst>
            <a:ext uri="{FF2B5EF4-FFF2-40B4-BE49-F238E27FC236}">
              <a16:creationId xmlns:a16="http://schemas.microsoft.com/office/drawing/2014/main" id="{74378F2C-6FFA-4935-A0BE-C25FB9FEE81E}"/>
            </a:ext>
          </a:extLst>
        </xdr:cNvPr>
        <xdr:cNvSpPr>
          <a:spLocks/>
        </xdr:cNvSpPr>
      </xdr:nvSpPr>
      <xdr:spPr bwMode="auto">
        <a:xfrm>
          <a:off x="7325930" y="3697397"/>
          <a:ext cx="143324" cy="286065"/>
        </a:xfrm>
        <a:custGeom>
          <a:avLst/>
          <a:gdLst>
            <a:gd name="T0" fmla="*/ 0 w 23017"/>
            <a:gd name="T1" fmla="*/ 2147483647 h 43200"/>
            <a:gd name="T2" fmla="*/ 2147483647 w 23017"/>
            <a:gd name="T3" fmla="*/ 2147483647 h 43200"/>
            <a:gd name="T4" fmla="*/ 2147483647 w 23017"/>
            <a:gd name="T5" fmla="*/ 2147483647 h 43200"/>
            <a:gd name="T6" fmla="*/ 0 60000 65536"/>
            <a:gd name="T7" fmla="*/ 0 60000 65536"/>
            <a:gd name="T8" fmla="*/ 0 60000 6553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0" t="0" r="r" b="b"/>
          <a:pathLst>
            <a:path w="23017" h="43200" fill="none" extrusionOk="0">
              <a:moveTo>
                <a:pt x="-1" y="46"/>
              </a:moveTo>
              <a:cubicBezTo>
                <a:pt x="471" y="15"/>
                <a:pt x="944" y="-1"/>
                <a:pt x="1417" y="0"/>
              </a:cubicBezTo>
              <a:cubicBezTo>
                <a:pt x="13346" y="0"/>
                <a:pt x="23017" y="9670"/>
                <a:pt x="23017" y="21600"/>
              </a:cubicBezTo>
              <a:cubicBezTo>
                <a:pt x="23017" y="33529"/>
                <a:pt x="13346" y="43200"/>
                <a:pt x="1417" y="43200"/>
              </a:cubicBezTo>
              <a:cubicBezTo>
                <a:pt x="1395" y="43200"/>
                <a:pt x="1373" y="43199"/>
                <a:pt x="1351" y="43199"/>
              </a:cubicBezTo>
            </a:path>
            <a:path w="23017" h="43200" stroke="0" extrusionOk="0">
              <a:moveTo>
                <a:pt x="-1" y="46"/>
              </a:moveTo>
              <a:cubicBezTo>
                <a:pt x="471" y="15"/>
                <a:pt x="944" y="-1"/>
                <a:pt x="1417" y="0"/>
              </a:cubicBezTo>
              <a:cubicBezTo>
                <a:pt x="13346" y="0"/>
                <a:pt x="23017" y="9670"/>
                <a:pt x="23017" y="21600"/>
              </a:cubicBezTo>
              <a:cubicBezTo>
                <a:pt x="23017" y="33529"/>
                <a:pt x="13346" y="43200"/>
                <a:pt x="1417" y="43200"/>
              </a:cubicBezTo>
              <a:cubicBezTo>
                <a:pt x="1395" y="43200"/>
                <a:pt x="1373" y="43199"/>
                <a:pt x="1351" y="43199"/>
              </a:cubicBezTo>
              <a:lnTo>
                <a:pt x="1417" y="21600"/>
              </a:lnTo>
              <a:lnTo>
                <a:pt x="-1" y="46"/>
              </a:lnTo>
              <a:close/>
            </a:path>
          </a:pathLst>
        </a:custGeom>
        <a:noFill/>
        <a:ln w="9525">
          <a:solidFill>
            <a:sysClr val="windowText" lastClr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/>
  </xdr:twoCellAnchor>
  <xdr:twoCellAnchor>
    <xdr:from>
      <xdr:col>19</xdr:col>
      <xdr:colOff>3586</xdr:colOff>
      <xdr:row>11</xdr:row>
      <xdr:rowOff>4189</xdr:rowOff>
    </xdr:from>
    <xdr:to>
      <xdr:col>19</xdr:col>
      <xdr:colOff>3586</xdr:colOff>
      <xdr:row>14</xdr:row>
      <xdr:rowOff>90597</xdr:rowOff>
    </xdr:to>
    <xdr:sp macro="" textlink="">
      <xdr:nvSpPr>
        <xdr:cNvPr id="138" name="Line 7412">
          <a:extLst>
            <a:ext uri="{FF2B5EF4-FFF2-40B4-BE49-F238E27FC236}">
              <a16:creationId xmlns:a16="http://schemas.microsoft.com/office/drawing/2014/main" id="{D43D8DC2-8810-4D1F-BF17-4E69F35CD000}"/>
            </a:ext>
          </a:extLst>
        </xdr:cNvPr>
        <xdr:cNvSpPr>
          <a:spLocks noChangeShapeType="1"/>
        </xdr:cNvSpPr>
      </xdr:nvSpPr>
      <xdr:spPr bwMode="auto">
        <a:xfrm>
          <a:off x="7331486" y="2883914"/>
          <a:ext cx="0" cy="813483"/>
        </a:xfrm>
        <a:prstGeom prst="line">
          <a:avLst/>
        </a:prstGeom>
        <a:noFill/>
        <a:ln w="9525">
          <a:solidFill>
            <a:sysClr val="windowText" lastClr="000000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9525</xdr:colOff>
      <xdr:row>15</xdr:row>
      <xdr:rowOff>141287</xdr:rowOff>
    </xdr:from>
    <xdr:to>
      <xdr:col>19</xdr:col>
      <xdr:colOff>11905</xdr:colOff>
      <xdr:row>19</xdr:row>
      <xdr:rowOff>64293</xdr:rowOff>
    </xdr:to>
    <xdr:sp macro="" textlink="">
      <xdr:nvSpPr>
        <xdr:cNvPr id="139" name="Line 7412">
          <a:extLst>
            <a:ext uri="{FF2B5EF4-FFF2-40B4-BE49-F238E27FC236}">
              <a16:creationId xmlns:a16="http://schemas.microsoft.com/office/drawing/2014/main" id="{46569F13-1949-491E-930B-650A9FEAAA19}"/>
            </a:ext>
          </a:extLst>
        </xdr:cNvPr>
        <xdr:cNvSpPr>
          <a:spLocks noChangeShapeType="1"/>
        </xdr:cNvSpPr>
      </xdr:nvSpPr>
      <xdr:spPr bwMode="auto">
        <a:xfrm flipH="1">
          <a:off x="7331075" y="3983037"/>
          <a:ext cx="2380" cy="904081"/>
        </a:xfrm>
        <a:prstGeom prst="line">
          <a:avLst/>
        </a:prstGeom>
        <a:noFill/>
        <a:ln w="9525">
          <a:solidFill>
            <a:sysClr val="windowText" lastClr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7937</xdr:colOff>
      <xdr:row>20</xdr:row>
      <xdr:rowOff>118266</xdr:rowOff>
    </xdr:from>
    <xdr:to>
      <xdr:col>19</xdr:col>
      <xdr:colOff>7937</xdr:colOff>
      <xdr:row>21</xdr:row>
      <xdr:rowOff>19050</xdr:rowOff>
    </xdr:to>
    <xdr:sp macro="" textlink="">
      <xdr:nvSpPr>
        <xdr:cNvPr id="140" name="Line 7412">
          <a:extLst>
            <a:ext uri="{FF2B5EF4-FFF2-40B4-BE49-F238E27FC236}">
              <a16:creationId xmlns:a16="http://schemas.microsoft.com/office/drawing/2014/main" id="{6B6C687D-7869-4016-8DD0-9BDBF142B260}"/>
            </a:ext>
          </a:extLst>
        </xdr:cNvPr>
        <xdr:cNvSpPr>
          <a:spLocks noChangeShapeType="1"/>
        </xdr:cNvSpPr>
      </xdr:nvSpPr>
      <xdr:spPr bwMode="auto">
        <a:xfrm flipH="1">
          <a:off x="7335837" y="5169691"/>
          <a:ext cx="0" cy="126209"/>
        </a:xfrm>
        <a:prstGeom prst="line">
          <a:avLst/>
        </a:prstGeom>
        <a:noFill/>
        <a:ln w="9525">
          <a:solidFill>
            <a:sysClr val="windowText" lastClr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2524</xdr:colOff>
      <xdr:row>32</xdr:row>
      <xdr:rowOff>81274</xdr:rowOff>
    </xdr:from>
    <xdr:to>
      <xdr:col>13</xdr:col>
      <xdr:colOff>145326</xdr:colOff>
      <xdr:row>33</xdr:row>
      <xdr:rowOff>138730</xdr:rowOff>
    </xdr:to>
    <xdr:sp macro="" textlink="">
      <xdr:nvSpPr>
        <xdr:cNvPr id="141" name="Arc 7424">
          <a:extLst>
            <a:ext uri="{FF2B5EF4-FFF2-40B4-BE49-F238E27FC236}">
              <a16:creationId xmlns:a16="http://schemas.microsoft.com/office/drawing/2014/main" id="{6BF1C8F8-ED15-4771-A340-7E158B61B329}"/>
            </a:ext>
          </a:extLst>
        </xdr:cNvPr>
        <xdr:cNvSpPr>
          <a:spLocks/>
        </xdr:cNvSpPr>
      </xdr:nvSpPr>
      <xdr:spPr bwMode="auto">
        <a:xfrm>
          <a:off x="4317092" y="7884051"/>
          <a:ext cx="142802" cy="286571"/>
        </a:xfrm>
        <a:custGeom>
          <a:avLst/>
          <a:gdLst>
            <a:gd name="T0" fmla="*/ 2147483647 w 21666"/>
            <a:gd name="T1" fmla="*/ 0 h 43200"/>
            <a:gd name="T2" fmla="*/ 0 w 21666"/>
            <a:gd name="T3" fmla="*/ 2147483647 h 43200"/>
            <a:gd name="T4" fmla="*/ 2147483647 w 21666"/>
            <a:gd name="T5" fmla="*/ 2147483647 h 43200"/>
            <a:gd name="T6" fmla="*/ 0 60000 65536"/>
            <a:gd name="T7" fmla="*/ 0 60000 65536"/>
            <a:gd name="T8" fmla="*/ 0 60000 6553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0" t="0" r="r" b="b"/>
          <a:pathLst>
            <a:path w="21666" h="43200" fill="none" extrusionOk="0">
              <a:moveTo>
                <a:pt x="66" y="0"/>
              </a:moveTo>
              <a:cubicBezTo>
                <a:pt x="11995" y="0"/>
                <a:pt x="21666" y="9670"/>
                <a:pt x="21666" y="21600"/>
              </a:cubicBezTo>
              <a:cubicBezTo>
                <a:pt x="21666" y="33529"/>
                <a:pt x="11995" y="43200"/>
                <a:pt x="66" y="43200"/>
              </a:cubicBezTo>
              <a:cubicBezTo>
                <a:pt x="44" y="43200"/>
                <a:pt x="22" y="43199"/>
                <a:pt x="0" y="43199"/>
              </a:cubicBezTo>
            </a:path>
            <a:path w="21666" h="43200" stroke="0" extrusionOk="0">
              <a:moveTo>
                <a:pt x="66" y="0"/>
              </a:moveTo>
              <a:cubicBezTo>
                <a:pt x="11995" y="0"/>
                <a:pt x="21666" y="9670"/>
                <a:pt x="21666" y="21600"/>
              </a:cubicBezTo>
              <a:cubicBezTo>
                <a:pt x="21666" y="33529"/>
                <a:pt x="11995" y="43200"/>
                <a:pt x="66" y="43200"/>
              </a:cubicBezTo>
              <a:cubicBezTo>
                <a:pt x="44" y="43200"/>
                <a:pt x="22" y="43199"/>
                <a:pt x="0" y="43199"/>
              </a:cubicBezTo>
              <a:lnTo>
                <a:pt x="66" y="21600"/>
              </a:lnTo>
              <a:lnTo>
                <a:pt x="66" y="0"/>
              </a:lnTo>
              <a:close/>
            </a:path>
          </a:pathLst>
        </a:custGeom>
        <a:noFill/>
        <a:ln w="9525">
          <a:solidFill>
            <a:sysClr val="windowText" lastClr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/>
  </xdr:twoCellAnchor>
  <xdr:twoCellAnchor>
    <xdr:from>
      <xdr:col>9</xdr:col>
      <xdr:colOff>289258</xdr:colOff>
      <xdr:row>32</xdr:row>
      <xdr:rowOff>92553</xdr:rowOff>
    </xdr:from>
    <xdr:to>
      <xdr:col>10</xdr:col>
      <xdr:colOff>150623</xdr:colOff>
      <xdr:row>33</xdr:row>
      <xdr:rowOff>150009</xdr:rowOff>
    </xdr:to>
    <xdr:sp macro="" textlink="">
      <xdr:nvSpPr>
        <xdr:cNvPr id="142" name="Arc 7416">
          <a:extLst>
            <a:ext uri="{FF2B5EF4-FFF2-40B4-BE49-F238E27FC236}">
              <a16:creationId xmlns:a16="http://schemas.microsoft.com/office/drawing/2014/main" id="{2EA77F9E-EF71-4029-B14A-4F2A5FDDED46}"/>
            </a:ext>
          </a:extLst>
        </xdr:cNvPr>
        <xdr:cNvSpPr>
          <a:spLocks/>
        </xdr:cNvSpPr>
      </xdr:nvSpPr>
      <xdr:spPr bwMode="auto">
        <a:xfrm>
          <a:off x="3264233" y="7884003"/>
          <a:ext cx="153465" cy="286056"/>
        </a:xfrm>
        <a:custGeom>
          <a:avLst/>
          <a:gdLst>
            <a:gd name="T0" fmla="*/ 2147483647 w 21666"/>
            <a:gd name="T1" fmla="*/ 0 h 43200"/>
            <a:gd name="T2" fmla="*/ 0 w 21666"/>
            <a:gd name="T3" fmla="*/ 2147483647 h 43200"/>
            <a:gd name="T4" fmla="*/ 2147483647 w 21666"/>
            <a:gd name="T5" fmla="*/ 2147483647 h 43200"/>
            <a:gd name="T6" fmla="*/ 0 60000 65536"/>
            <a:gd name="T7" fmla="*/ 0 60000 65536"/>
            <a:gd name="T8" fmla="*/ 0 60000 6553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0" t="0" r="r" b="b"/>
          <a:pathLst>
            <a:path w="21666" h="43200" fill="none" extrusionOk="0">
              <a:moveTo>
                <a:pt x="66" y="0"/>
              </a:moveTo>
              <a:cubicBezTo>
                <a:pt x="11995" y="0"/>
                <a:pt x="21666" y="9670"/>
                <a:pt x="21666" y="21600"/>
              </a:cubicBezTo>
              <a:cubicBezTo>
                <a:pt x="21666" y="33529"/>
                <a:pt x="11995" y="43200"/>
                <a:pt x="66" y="43200"/>
              </a:cubicBezTo>
              <a:cubicBezTo>
                <a:pt x="44" y="43200"/>
                <a:pt x="22" y="43199"/>
                <a:pt x="0" y="43199"/>
              </a:cubicBezTo>
            </a:path>
            <a:path w="21666" h="43200" stroke="0" extrusionOk="0">
              <a:moveTo>
                <a:pt x="66" y="0"/>
              </a:moveTo>
              <a:cubicBezTo>
                <a:pt x="11995" y="0"/>
                <a:pt x="21666" y="9670"/>
                <a:pt x="21666" y="21600"/>
              </a:cubicBezTo>
              <a:cubicBezTo>
                <a:pt x="21666" y="33529"/>
                <a:pt x="11995" y="43200"/>
                <a:pt x="66" y="43200"/>
              </a:cubicBezTo>
              <a:cubicBezTo>
                <a:pt x="44" y="43200"/>
                <a:pt x="22" y="43199"/>
                <a:pt x="0" y="43199"/>
              </a:cubicBezTo>
              <a:lnTo>
                <a:pt x="66" y="21600"/>
              </a:lnTo>
              <a:lnTo>
                <a:pt x="66" y="0"/>
              </a:lnTo>
              <a:close/>
            </a:path>
          </a:pathLst>
        </a:custGeom>
        <a:noFill/>
        <a:ln w="9525">
          <a:solidFill>
            <a:sysClr val="windowText" lastClr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/>
  </xdr:twoCellAnchor>
  <xdr:twoCellAnchor>
    <xdr:from>
      <xdr:col>12</xdr:col>
      <xdr:colOff>5277</xdr:colOff>
      <xdr:row>32</xdr:row>
      <xdr:rowOff>83052</xdr:rowOff>
    </xdr:from>
    <xdr:to>
      <xdr:col>12</xdr:col>
      <xdr:colOff>158867</xdr:colOff>
      <xdr:row>33</xdr:row>
      <xdr:rowOff>140508</xdr:rowOff>
    </xdr:to>
    <xdr:sp macro="" textlink="">
      <xdr:nvSpPr>
        <xdr:cNvPr id="143" name="Arc 7417">
          <a:extLst>
            <a:ext uri="{FF2B5EF4-FFF2-40B4-BE49-F238E27FC236}">
              <a16:creationId xmlns:a16="http://schemas.microsoft.com/office/drawing/2014/main" id="{D8E1AD73-40F4-4BA1-AE00-B63BBFA36A9D}"/>
            </a:ext>
          </a:extLst>
        </xdr:cNvPr>
        <xdr:cNvSpPr>
          <a:spLocks/>
        </xdr:cNvSpPr>
      </xdr:nvSpPr>
      <xdr:spPr bwMode="auto">
        <a:xfrm>
          <a:off x="4018477" y="7877677"/>
          <a:ext cx="153590" cy="286056"/>
        </a:xfrm>
        <a:custGeom>
          <a:avLst/>
          <a:gdLst>
            <a:gd name="T0" fmla="*/ 2147483647 w 21666"/>
            <a:gd name="T1" fmla="*/ 0 h 43200"/>
            <a:gd name="T2" fmla="*/ 0 w 21666"/>
            <a:gd name="T3" fmla="*/ 2147483647 h 43200"/>
            <a:gd name="T4" fmla="*/ 2147483647 w 21666"/>
            <a:gd name="T5" fmla="*/ 2147483647 h 43200"/>
            <a:gd name="T6" fmla="*/ 0 60000 65536"/>
            <a:gd name="T7" fmla="*/ 0 60000 65536"/>
            <a:gd name="T8" fmla="*/ 0 60000 6553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0" t="0" r="r" b="b"/>
          <a:pathLst>
            <a:path w="21666" h="43200" fill="none" extrusionOk="0">
              <a:moveTo>
                <a:pt x="66" y="0"/>
              </a:moveTo>
              <a:cubicBezTo>
                <a:pt x="11995" y="0"/>
                <a:pt x="21666" y="9670"/>
                <a:pt x="21666" y="21600"/>
              </a:cubicBezTo>
              <a:cubicBezTo>
                <a:pt x="21666" y="33529"/>
                <a:pt x="11995" y="43200"/>
                <a:pt x="66" y="43200"/>
              </a:cubicBezTo>
              <a:cubicBezTo>
                <a:pt x="44" y="43200"/>
                <a:pt x="22" y="43199"/>
                <a:pt x="0" y="43199"/>
              </a:cubicBezTo>
            </a:path>
            <a:path w="21666" h="43200" stroke="0" extrusionOk="0">
              <a:moveTo>
                <a:pt x="66" y="0"/>
              </a:moveTo>
              <a:cubicBezTo>
                <a:pt x="11995" y="0"/>
                <a:pt x="21666" y="9670"/>
                <a:pt x="21666" y="21600"/>
              </a:cubicBezTo>
              <a:cubicBezTo>
                <a:pt x="21666" y="33529"/>
                <a:pt x="11995" y="43200"/>
                <a:pt x="66" y="43200"/>
              </a:cubicBezTo>
              <a:cubicBezTo>
                <a:pt x="44" y="43200"/>
                <a:pt x="22" y="43199"/>
                <a:pt x="0" y="43199"/>
              </a:cubicBezTo>
              <a:lnTo>
                <a:pt x="66" y="21600"/>
              </a:lnTo>
              <a:lnTo>
                <a:pt x="66" y="0"/>
              </a:lnTo>
              <a:close/>
            </a:path>
          </a:pathLst>
        </a:custGeom>
        <a:noFill/>
        <a:ln w="9525">
          <a:solidFill>
            <a:sysClr val="windowText" lastClr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/>
  </xdr:twoCellAnchor>
  <xdr:twoCellAnchor>
    <xdr:from>
      <xdr:col>12</xdr:col>
      <xdr:colOff>5277</xdr:colOff>
      <xdr:row>30</xdr:row>
      <xdr:rowOff>143503</xdr:rowOff>
    </xdr:from>
    <xdr:to>
      <xdr:col>12</xdr:col>
      <xdr:colOff>5277</xdr:colOff>
      <xdr:row>32</xdr:row>
      <xdr:rowOff>87923</xdr:rowOff>
    </xdr:to>
    <xdr:sp macro="" textlink="">
      <xdr:nvSpPr>
        <xdr:cNvPr id="144" name="Line 7421">
          <a:extLst>
            <a:ext uri="{FF2B5EF4-FFF2-40B4-BE49-F238E27FC236}">
              <a16:creationId xmlns:a16="http://schemas.microsoft.com/office/drawing/2014/main" id="{3BDB452E-D492-4326-8435-30C6DB2340AA}"/>
            </a:ext>
          </a:extLst>
        </xdr:cNvPr>
        <xdr:cNvSpPr>
          <a:spLocks noChangeShapeType="1"/>
        </xdr:cNvSpPr>
      </xdr:nvSpPr>
      <xdr:spPr bwMode="auto">
        <a:xfrm>
          <a:off x="4018477" y="7474578"/>
          <a:ext cx="0" cy="401620"/>
        </a:xfrm>
        <a:prstGeom prst="line">
          <a:avLst/>
        </a:prstGeom>
        <a:noFill/>
        <a:ln w="9525">
          <a:solidFill>
            <a:sysClr val="windowText" lastClr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10643</xdr:colOff>
      <xdr:row>30</xdr:row>
      <xdr:rowOff>144693</xdr:rowOff>
    </xdr:from>
    <xdr:to>
      <xdr:col>13</xdr:col>
      <xdr:colOff>10643</xdr:colOff>
      <xdr:row>32</xdr:row>
      <xdr:rowOff>79482</xdr:rowOff>
    </xdr:to>
    <xdr:sp macro="" textlink="">
      <xdr:nvSpPr>
        <xdr:cNvPr id="145" name="Line 32">
          <a:extLst>
            <a:ext uri="{FF2B5EF4-FFF2-40B4-BE49-F238E27FC236}">
              <a16:creationId xmlns:a16="http://schemas.microsoft.com/office/drawing/2014/main" id="{08C15855-12BB-41BB-A3FA-CF878E8FC2E5}"/>
            </a:ext>
          </a:extLst>
        </xdr:cNvPr>
        <xdr:cNvSpPr>
          <a:spLocks noChangeShapeType="1"/>
        </xdr:cNvSpPr>
      </xdr:nvSpPr>
      <xdr:spPr bwMode="auto">
        <a:xfrm flipV="1">
          <a:off x="4322293" y="7475768"/>
          <a:ext cx="0" cy="398339"/>
        </a:xfrm>
        <a:prstGeom prst="line">
          <a:avLst/>
        </a:prstGeom>
        <a:noFill/>
        <a:ln w="9525">
          <a:solidFill>
            <a:sysClr val="windowText" lastClr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140179</xdr:colOff>
      <xdr:row>32</xdr:row>
      <xdr:rowOff>230037</xdr:rowOff>
    </xdr:from>
    <xdr:to>
      <xdr:col>23</xdr:col>
      <xdr:colOff>26099</xdr:colOff>
      <xdr:row>33</xdr:row>
      <xdr:rowOff>274</xdr:rowOff>
    </xdr:to>
    <xdr:sp macro="" textlink="">
      <xdr:nvSpPr>
        <xdr:cNvPr id="146" name="Line 80">
          <a:extLst>
            <a:ext uri="{FF2B5EF4-FFF2-40B4-BE49-F238E27FC236}">
              <a16:creationId xmlns:a16="http://schemas.microsoft.com/office/drawing/2014/main" id="{A83948E4-66CB-493B-8535-651B5C043DBC}"/>
            </a:ext>
          </a:extLst>
        </xdr:cNvPr>
        <xdr:cNvSpPr>
          <a:spLocks noChangeShapeType="1"/>
        </xdr:cNvSpPr>
      </xdr:nvSpPr>
      <xdr:spPr bwMode="auto">
        <a:xfrm>
          <a:off x="4931434" y="8054914"/>
          <a:ext cx="4659203" cy="275"/>
        </a:xfrm>
        <a:prstGeom prst="line">
          <a:avLst/>
        </a:prstGeom>
        <a:noFill/>
        <a:ln w="9525">
          <a:solidFill>
            <a:sysClr val="windowText" lastClr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5084</xdr:colOff>
      <xdr:row>5</xdr:row>
      <xdr:rowOff>223631</xdr:rowOff>
    </xdr:from>
    <xdr:to>
      <xdr:col>17</xdr:col>
      <xdr:colOff>5084</xdr:colOff>
      <xdr:row>11</xdr:row>
      <xdr:rowOff>2485</xdr:rowOff>
    </xdr:to>
    <xdr:sp macro="" textlink="">
      <xdr:nvSpPr>
        <xdr:cNvPr id="147" name="Line 32">
          <a:extLst>
            <a:ext uri="{FF2B5EF4-FFF2-40B4-BE49-F238E27FC236}">
              <a16:creationId xmlns:a16="http://schemas.microsoft.com/office/drawing/2014/main" id="{EEE30485-185C-4856-994E-2F3FC8A2BCE7}"/>
            </a:ext>
          </a:extLst>
        </xdr:cNvPr>
        <xdr:cNvSpPr>
          <a:spLocks noChangeShapeType="1"/>
        </xdr:cNvSpPr>
      </xdr:nvSpPr>
      <xdr:spPr bwMode="auto">
        <a:xfrm>
          <a:off x="6218559" y="1753981"/>
          <a:ext cx="0" cy="1125054"/>
        </a:xfrm>
        <a:prstGeom prst="line">
          <a:avLst/>
        </a:prstGeom>
        <a:noFill/>
        <a:ln w="9525">
          <a:solidFill>
            <a:sysClr val="windowText" lastClr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4</xdr:row>
      <xdr:rowOff>9950</xdr:rowOff>
    </xdr:from>
    <xdr:to>
      <xdr:col>4</xdr:col>
      <xdr:colOff>40481</xdr:colOff>
      <xdr:row>4</xdr:row>
      <xdr:rowOff>9950</xdr:rowOff>
    </xdr:to>
    <xdr:sp macro="" textlink="">
      <xdr:nvSpPr>
        <xdr:cNvPr id="148" name="Line 46">
          <a:extLst>
            <a:ext uri="{FF2B5EF4-FFF2-40B4-BE49-F238E27FC236}">
              <a16:creationId xmlns:a16="http://schemas.microsoft.com/office/drawing/2014/main" id="{C031F232-4C73-498E-A3DF-D1F4AFAB175B}"/>
            </a:ext>
          </a:extLst>
        </xdr:cNvPr>
        <xdr:cNvSpPr>
          <a:spLocks noChangeShapeType="1"/>
        </xdr:cNvSpPr>
      </xdr:nvSpPr>
      <xdr:spPr bwMode="auto">
        <a:xfrm>
          <a:off x="0" y="1092625"/>
          <a:ext cx="1297781" cy="0"/>
        </a:xfrm>
        <a:prstGeom prst="line">
          <a:avLst/>
        </a:prstGeom>
        <a:noFill/>
        <a:ln w="9525">
          <a:solidFill>
            <a:sysClr val="windowText" lastClr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10786</xdr:colOff>
      <xdr:row>39</xdr:row>
      <xdr:rowOff>66991</xdr:rowOff>
    </xdr:from>
    <xdr:to>
      <xdr:col>8</xdr:col>
      <xdr:colOff>412687</xdr:colOff>
      <xdr:row>39</xdr:row>
      <xdr:rowOff>68294</xdr:rowOff>
    </xdr:to>
    <xdr:sp macro="" textlink="">
      <xdr:nvSpPr>
        <xdr:cNvPr id="149" name="Line 32">
          <a:extLst>
            <a:ext uri="{FF2B5EF4-FFF2-40B4-BE49-F238E27FC236}">
              <a16:creationId xmlns:a16="http://schemas.microsoft.com/office/drawing/2014/main" id="{85409F5E-CF1F-4366-8E50-486037BB88BA}"/>
            </a:ext>
          </a:extLst>
        </xdr:cNvPr>
        <xdr:cNvSpPr>
          <a:spLocks noChangeShapeType="1"/>
        </xdr:cNvSpPr>
      </xdr:nvSpPr>
      <xdr:spPr bwMode="auto">
        <a:xfrm rot="5400000" flipH="1" flipV="1">
          <a:off x="2655835" y="9198017"/>
          <a:ext cx="1303" cy="516201"/>
        </a:xfrm>
        <a:prstGeom prst="line">
          <a:avLst/>
        </a:prstGeom>
        <a:noFill/>
        <a:ln w="9525">
          <a:solidFill>
            <a:sysClr val="windowText" lastClr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413779</xdr:colOff>
      <xdr:row>35</xdr:row>
      <xdr:rowOff>27420</xdr:rowOff>
    </xdr:from>
    <xdr:to>
      <xdr:col>8</xdr:col>
      <xdr:colOff>413779</xdr:colOff>
      <xdr:row>39</xdr:row>
      <xdr:rowOff>61829</xdr:rowOff>
    </xdr:to>
    <xdr:sp macro="" textlink="">
      <xdr:nvSpPr>
        <xdr:cNvPr id="150" name="Line 6">
          <a:extLst>
            <a:ext uri="{FF2B5EF4-FFF2-40B4-BE49-F238E27FC236}">
              <a16:creationId xmlns:a16="http://schemas.microsoft.com/office/drawing/2014/main" id="{5E8C6076-207D-4A54-87D3-25C64E784FCC}"/>
            </a:ext>
          </a:extLst>
        </xdr:cNvPr>
        <xdr:cNvSpPr>
          <a:spLocks noChangeShapeType="1"/>
        </xdr:cNvSpPr>
      </xdr:nvSpPr>
      <xdr:spPr bwMode="auto">
        <a:xfrm flipV="1">
          <a:off x="2915679" y="8507845"/>
          <a:ext cx="0" cy="948809"/>
        </a:xfrm>
        <a:prstGeom prst="line">
          <a:avLst/>
        </a:prstGeom>
        <a:noFill/>
        <a:ln w="9525">
          <a:solidFill>
            <a:sysClr val="windowText" lastClr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144830</xdr:colOff>
      <xdr:row>38</xdr:row>
      <xdr:rowOff>118560</xdr:rowOff>
    </xdr:from>
    <xdr:to>
      <xdr:col>11</xdr:col>
      <xdr:colOff>287436</xdr:colOff>
      <xdr:row>39</xdr:row>
      <xdr:rowOff>162238</xdr:rowOff>
    </xdr:to>
    <xdr:sp macro="" textlink="">
      <xdr:nvSpPr>
        <xdr:cNvPr id="151" name="Arc 7424">
          <a:extLst>
            <a:ext uri="{FF2B5EF4-FFF2-40B4-BE49-F238E27FC236}">
              <a16:creationId xmlns:a16="http://schemas.microsoft.com/office/drawing/2014/main" id="{AECA85A4-A54B-4D2D-A3F4-F9DF5FF13B4B}"/>
            </a:ext>
          </a:extLst>
        </xdr:cNvPr>
        <xdr:cNvSpPr>
          <a:spLocks/>
        </xdr:cNvSpPr>
      </xdr:nvSpPr>
      <xdr:spPr bwMode="auto">
        <a:xfrm>
          <a:off x="3713530" y="9284785"/>
          <a:ext cx="145781" cy="265928"/>
        </a:xfrm>
        <a:custGeom>
          <a:avLst/>
          <a:gdLst>
            <a:gd name="T0" fmla="*/ 2147483647 w 21666"/>
            <a:gd name="T1" fmla="*/ 0 h 43200"/>
            <a:gd name="T2" fmla="*/ 0 w 21666"/>
            <a:gd name="T3" fmla="*/ 2147483647 h 43200"/>
            <a:gd name="T4" fmla="*/ 2147483647 w 21666"/>
            <a:gd name="T5" fmla="*/ 2147483647 h 43200"/>
            <a:gd name="T6" fmla="*/ 0 60000 65536"/>
            <a:gd name="T7" fmla="*/ 0 60000 65536"/>
            <a:gd name="T8" fmla="*/ 0 60000 6553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0" t="0" r="r" b="b"/>
          <a:pathLst>
            <a:path w="21666" h="43200" fill="none" extrusionOk="0">
              <a:moveTo>
                <a:pt x="66" y="0"/>
              </a:moveTo>
              <a:cubicBezTo>
                <a:pt x="11995" y="0"/>
                <a:pt x="21666" y="9670"/>
                <a:pt x="21666" y="21600"/>
              </a:cubicBezTo>
              <a:cubicBezTo>
                <a:pt x="21666" y="33529"/>
                <a:pt x="11995" y="43200"/>
                <a:pt x="66" y="43200"/>
              </a:cubicBezTo>
              <a:cubicBezTo>
                <a:pt x="44" y="43200"/>
                <a:pt x="22" y="43199"/>
                <a:pt x="0" y="43199"/>
              </a:cubicBezTo>
            </a:path>
            <a:path w="21666" h="43200" stroke="0" extrusionOk="0">
              <a:moveTo>
                <a:pt x="66" y="0"/>
              </a:moveTo>
              <a:cubicBezTo>
                <a:pt x="11995" y="0"/>
                <a:pt x="21666" y="9670"/>
                <a:pt x="21666" y="21600"/>
              </a:cubicBezTo>
              <a:cubicBezTo>
                <a:pt x="21666" y="33529"/>
                <a:pt x="11995" y="43200"/>
                <a:pt x="66" y="43200"/>
              </a:cubicBezTo>
              <a:cubicBezTo>
                <a:pt x="44" y="43200"/>
                <a:pt x="22" y="43199"/>
                <a:pt x="0" y="43199"/>
              </a:cubicBezTo>
              <a:lnTo>
                <a:pt x="66" y="21600"/>
              </a:lnTo>
              <a:lnTo>
                <a:pt x="66" y="0"/>
              </a:lnTo>
              <a:close/>
            </a:path>
          </a:pathLst>
        </a:custGeom>
        <a:noFill/>
        <a:ln w="9525">
          <a:solidFill>
            <a:sysClr val="windowText" lastClr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/>
  </xdr:twoCellAnchor>
  <xdr:twoCellAnchor>
    <xdr:from>
      <xdr:col>11</xdr:col>
      <xdr:colOff>132853</xdr:colOff>
      <xdr:row>35</xdr:row>
      <xdr:rowOff>17899</xdr:rowOff>
    </xdr:from>
    <xdr:to>
      <xdr:col>11</xdr:col>
      <xdr:colOff>132853</xdr:colOff>
      <xdr:row>38</xdr:row>
      <xdr:rowOff>129192</xdr:rowOff>
    </xdr:to>
    <xdr:sp macro="" textlink="">
      <xdr:nvSpPr>
        <xdr:cNvPr id="152" name="Line 32">
          <a:extLst>
            <a:ext uri="{FF2B5EF4-FFF2-40B4-BE49-F238E27FC236}">
              <a16:creationId xmlns:a16="http://schemas.microsoft.com/office/drawing/2014/main" id="{2B49B3DE-E046-4B32-8706-5377136982F5}"/>
            </a:ext>
          </a:extLst>
        </xdr:cNvPr>
        <xdr:cNvSpPr>
          <a:spLocks noChangeShapeType="1"/>
        </xdr:cNvSpPr>
      </xdr:nvSpPr>
      <xdr:spPr bwMode="auto">
        <a:xfrm flipV="1">
          <a:off x="3704728" y="8495149"/>
          <a:ext cx="0" cy="793918"/>
        </a:xfrm>
        <a:prstGeom prst="line">
          <a:avLst/>
        </a:prstGeom>
        <a:noFill/>
        <a:ln w="9525">
          <a:solidFill>
            <a:sysClr val="windowText" lastClr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152645</xdr:colOff>
      <xdr:row>39</xdr:row>
      <xdr:rowOff>165685</xdr:rowOff>
    </xdr:from>
    <xdr:to>
      <xdr:col>11</xdr:col>
      <xdr:colOff>152645</xdr:colOff>
      <xdr:row>43</xdr:row>
      <xdr:rowOff>16810</xdr:rowOff>
    </xdr:to>
    <xdr:sp macro="" textlink="">
      <xdr:nvSpPr>
        <xdr:cNvPr id="153" name="Line 32">
          <a:extLst>
            <a:ext uri="{FF2B5EF4-FFF2-40B4-BE49-F238E27FC236}">
              <a16:creationId xmlns:a16="http://schemas.microsoft.com/office/drawing/2014/main" id="{42CD0481-39FE-486F-A2C7-DC5070E37233}"/>
            </a:ext>
          </a:extLst>
        </xdr:cNvPr>
        <xdr:cNvSpPr>
          <a:spLocks noChangeShapeType="1"/>
        </xdr:cNvSpPr>
      </xdr:nvSpPr>
      <xdr:spPr bwMode="auto">
        <a:xfrm flipV="1">
          <a:off x="3724520" y="9554160"/>
          <a:ext cx="0" cy="768700"/>
        </a:xfrm>
        <a:prstGeom prst="line">
          <a:avLst/>
        </a:prstGeom>
        <a:noFill/>
        <a:ln w="9525">
          <a:solidFill>
            <a:sysClr val="windowText" lastClr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2380</xdr:colOff>
      <xdr:row>43</xdr:row>
      <xdr:rowOff>11545</xdr:rowOff>
    </xdr:from>
    <xdr:to>
      <xdr:col>11</xdr:col>
      <xdr:colOff>151571</xdr:colOff>
      <xdr:row>43</xdr:row>
      <xdr:rowOff>14290</xdr:rowOff>
    </xdr:to>
    <xdr:sp macro="" textlink="">
      <xdr:nvSpPr>
        <xdr:cNvPr id="154" name="Line 46">
          <a:extLst>
            <a:ext uri="{FF2B5EF4-FFF2-40B4-BE49-F238E27FC236}">
              <a16:creationId xmlns:a16="http://schemas.microsoft.com/office/drawing/2014/main" id="{41A0DDF6-D651-46C1-A29F-64A5CF37170E}"/>
            </a:ext>
          </a:extLst>
        </xdr:cNvPr>
        <xdr:cNvSpPr>
          <a:spLocks noChangeShapeType="1"/>
        </xdr:cNvSpPr>
      </xdr:nvSpPr>
      <xdr:spPr bwMode="auto">
        <a:xfrm rot="5400000">
          <a:off x="3056928" y="9650647"/>
          <a:ext cx="2745" cy="1330291"/>
        </a:xfrm>
        <a:prstGeom prst="line">
          <a:avLst/>
        </a:prstGeom>
        <a:noFill/>
        <a:ln w="9525">
          <a:solidFill>
            <a:sysClr val="windowText" lastClr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2706</xdr:colOff>
      <xdr:row>4</xdr:row>
      <xdr:rowOff>0</xdr:rowOff>
    </xdr:from>
    <xdr:to>
      <xdr:col>17</xdr:col>
      <xdr:colOff>2706</xdr:colOff>
      <xdr:row>4</xdr:row>
      <xdr:rowOff>371905</xdr:rowOff>
    </xdr:to>
    <xdr:sp macro="" textlink="">
      <xdr:nvSpPr>
        <xdr:cNvPr id="155" name="Line 7412">
          <a:extLst>
            <a:ext uri="{FF2B5EF4-FFF2-40B4-BE49-F238E27FC236}">
              <a16:creationId xmlns:a16="http://schemas.microsoft.com/office/drawing/2014/main" id="{336B7B6C-F61F-4EA1-8EB1-D8D29E6874D1}"/>
            </a:ext>
          </a:extLst>
        </xdr:cNvPr>
        <xdr:cNvSpPr>
          <a:spLocks noChangeShapeType="1"/>
        </xdr:cNvSpPr>
      </xdr:nvSpPr>
      <xdr:spPr bwMode="auto">
        <a:xfrm flipH="1">
          <a:off x="6213006" y="1085850"/>
          <a:ext cx="0" cy="368730"/>
        </a:xfrm>
        <a:prstGeom prst="line">
          <a:avLst/>
        </a:prstGeom>
        <a:noFill/>
        <a:ln w="9525">
          <a:solidFill>
            <a:sysClr val="windowText" lastClr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500035</xdr:colOff>
      <xdr:row>11</xdr:row>
      <xdr:rowOff>11516</xdr:rowOff>
    </xdr:from>
    <xdr:to>
      <xdr:col>13</xdr:col>
      <xdr:colOff>500035</xdr:colOff>
      <xdr:row>20</xdr:row>
      <xdr:rowOff>114886</xdr:rowOff>
    </xdr:to>
    <xdr:sp macro="" textlink="">
      <xdr:nvSpPr>
        <xdr:cNvPr id="156" name="Line 10">
          <a:extLst>
            <a:ext uri="{FF2B5EF4-FFF2-40B4-BE49-F238E27FC236}">
              <a16:creationId xmlns:a16="http://schemas.microsoft.com/office/drawing/2014/main" id="{4E6F36A8-05A0-408C-97B0-73DB8D27010B}"/>
            </a:ext>
          </a:extLst>
        </xdr:cNvPr>
        <xdr:cNvSpPr>
          <a:spLocks noChangeShapeType="1"/>
        </xdr:cNvSpPr>
      </xdr:nvSpPr>
      <xdr:spPr bwMode="auto">
        <a:xfrm flipH="1" flipV="1">
          <a:off x="4779935" y="2884891"/>
          <a:ext cx="0" cy="2278245"/>
        </a:xfrm>
        <a:prstGeom prst="line">
          <a:avLst/>
        </a:prstGeom>
        <a:noFill/>
        <a:ln w="9525">
          <a:solidFill>
            <a:sysClr val="windowText" lastClr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462242</xdr:colOff>
      <xdr:row>21</xdr:row>
      <xdr:rowOff>182404</xdr:rowOff>
    </xdr:from>
    <xdr:to>
      <xdr:col>13</xdr:col>
      <xdr:colOff>463690</xdr:colOff>
      <xdr:row>35</xdr:row>
      <xdr:rowOff>8404</xdr:rowOff>
    </xdr:to>
    <xdr:sp macro="" textlink="">
      <xdr:nvSpPr>
        <xdr:cNvPr id="157" name="Line 24">
          <a:extLst>
            <a:ext uri="{FF2B5EF4-FFF2-40B4-BE49-F238E27FC236}">
              <a16:creationId xmlns:a16="http://schemas.microsoft.com/office/drawing/2014/main" id="{2F135BD7-EABF-436C-A825-0F378313FE71}"/>
            </a:ext>
          </a:extLst>
        </xdr:cNvPr>
        <xdr:cNvSpPr>
          <a:spLocks noChangeShapeType="1"/>
        </xdr:cNvSpPr>
      </xdr:nvSpPr>
      <xdr:spPr bwMode="auto">
        <a:xfrm flipH="1">
          <a:off x="4780242" y="5456079"/>
          <a:ext cx="1448" cy="3032750"/>
        </a:xfrm>
        <a:prstGeom prst="line">
          <a:avLst/>
        </a:prstGeom>
        <a:noFill/>
        <a:ln w="9525">
          <a:solidFill>
            <a:sysClr val="windowText" lastClr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11</xdr:row>
      <xdr:rowOff>0</xdr:rowOff>
    </xdr:from>
    <xdr:to>
      <xdr:col>10</xdr:col>
      <xdr:colOff>0</xdr:colOff>
      <xdr:row>13</xdr:row>
      <xdr:rowOff>215806</xdr:rowOff>
    </xdr:to>
    <xdr:sp macro="" textlink="">
      <xdr:nvSpPr>
        <xdr:cNvPr id="158" name="Line 50">
          <a:extLst>
            <a:ext uri="{FF2B5EF4-FFF2-40B4-BE49-F238E27FC236}">
              <a16:creationId xmlns:a16="http://schemas.microsoft.com/office/drawing/2014/main" id="{E7F134E6-0A9C-43BD-A340-0C97A9467193}"/>
            </a:ext>
          </a:extLst>
        </xdr:cNvPr>
        <xdr:cNvSpPr>
          <a:spLocks noChangeShapeType="1"/>
        </xdr:cNvSpPr>
      </xdr:nvSpPr>
      <xdr:spPr bwMode="auto">
        <a:xfrm>
          <a:off x="3267075" y="2876550"/>
          <a:ext cx="0" cy="695231"/>
        </a:xfrm>
        <a:prstGeom prst="line">
          <a:avLst/>
        </a:prstGeom>
        <a:noFill/>
        <a:ln w="9525">
          <a:solidFill>
            <a:sysClr val="windowText" lastClr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2063</xdr:colOff>
      <xdr:row>3</xdr:row>
      <xdr:rowOff>282671</xdr:rowOff>
    </xdr:from>
    <xdr:to>
      <xdr:col>24</xdr:col>
      <xdr:colOff>2063</xdr:colOff>
      <xdr:row>4</xdr:row>
      <xdr:rowOff>364435</xdr:rowOff>
    </xdr:to>
    <xdr:sp macro="" textlink="">
      <xdr:nvSpPr>
        <xdr:cNvPr id="159" name="Line 50">
          <a:extLst>
            <a:ext uri="{FF2B5EF4-FFF2-40B4-BE49-F238E27FC236}">
              <a16:creationId xmlns:a16="http://schemas.microsoft.com/office/drawing/2014/main" id="{1AD2CC4E-A944-4C82-9931-0997729FCB7E}"/>
            </a:ext>
          </a:extLst>
        </xdr:cNvPr>
        <xdr:cNvSpPr>
          <a:spLocks noChangeShapeType="1"/>
        </xdr:cNvSpPr>
      </xdr:nvSpPr>
      <xdr:spPr bwMode="auto">
        <a:xfrm>
          <a:off x="10365263" y="1082771"/>
          <a:ext cx="0" cy="367514"/>
        </a:xfrm>
        <a:prstGeom prst="line">
          <a:avLst/>
        </a:prstGeom>
        <a:noFill/>
        <a:ln w="9525">
          <a:solidFill>
            <a:sysClr val="windowText" lastClr="000000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9993</xdr:colOff>
      <xdr:row>5</xdr:row>
      <xdr:rowOff>190500</xdr:rowOff>
    </xdr:from>
    <xdr:to>
      <xdr:col>24</xdr:col>
      <xdr:colOff>9993</xdr:colOff>
      <xdr:row>8</xdr:row>
      <xdr:rowOff>132522</xdr:rowOff>
    </xdr:to>
    <xdr:sp macro="" textlink="">
      <xdr:nvSpPr>
        <xdr:cNvPr id="160" name="Line 7412">
          <a:extLst>
            <a:ext uri="{FF2B5EF4-FFF2-40B4-BE49-F238E27FC236}">
              <a16:creationId xmlns:a16="http://schemas.microsoft.com/office/drawing/2014/main" id="{638A5B39-C4BC-433F-9D2A-E38CF5F9BD75}"/>
            </a:ext>
          </a:extLst>
        </xdr:cNvPr>
        <xdr:cNvSpPr>
          <a:spLocks noChangeShapeType="1"/>
        </xdr:cNvSpPr>
      </xdr:nvSpPr>
      <xdr:spPr bwMode="auto">
        <a:xfrm>
          <a:off x="10370018" y="1724025"/>
          <a:ext cx="0" cy="599247"/>
        </a:xfrm>
        <a:prstGeom prst="line">
          <a:avLst/>
        </a:prstGeom>
        <a:noFill/>
        <a:ln w="9525">
          <a:solidFill>
            <a:sysClr val="windowText" lastClr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960360</xdr:colOff>
      <xdr:row>4</xdr:row>
      <xdr:rowOff>1</xdr:rowOff>
    </xdr:from>
    <xdr:to>
      <xdr:col>24</xdr:col>
      <xdr:colOff>960360</xdr:colOff>
      <xdr:row>4</xdr:row>
      <xdr:rowOff>356151</xdr:rowOff>
    </xdr:to>
    <xdr:sp macro="" textlink="">
      <xdr:nvSpPr>
        <xdr:cNvPr id="161" name="Line 50">
          <a:extLst>
            <a:ext uri="{FF2B5EF4-FFF2-40B4-BE49-F238E27FC236}">
              <a16:creationId xmlns:a16="http://schemas.microsoft.com/office/drawing/2014/main" id="{5D44B9B9-AD7A-49B1-9F3B-FECD056B29D6}"/>
            </a:ext>
          </a:extLst>
        </xdr:cNvPr>
        <xdr:cNvSpPr>
          <a:spLocks noChangeShapeType="1"/>
        </xdr:cNvSpPr>
      </xdr:nvSpPr>
      <xdr:spPr bwMode="auto">
        <a:xfrm>
          <a:off x="11250535" y="1085851"/>
          <a:ext cx="0" cy="352975"/>
        </a:xfrm>
        <a:prstGeom prst="line">
          <a:avLst/>
        </a:prstGeom>
        <a:noFill/>
        <a:ln w="9525">
          <a:solidFill>
            <a:sysClr val="windowText" lastClr="000000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2065</xdr:colOff>
      <xdr:row>3</xdr:row>
      <xdr:rowOff>274386</xdr:rowOff>
    </xdr:from>
    <xdr:to>
      <xdr:col>21</xdr:col>
      <xdr:colOff>2065</xdr:colOff>
      <xdr:row>4</xdr:row>
      <xdr:rowOff>364434</xdr:rowOff>
    </xdr:to>
    <xdr:sp macro="" textlink="">
      <xdr:nvSpPr>
        <xdr:cNvPr id="162" name="Line 50">
          <a:extLst>
            <a:ext uri="{FF2B5EF4-FFF2-40B4-BE49-F238E27FC236}">
              <a16:creationId xmlns:a16="http://schemas.microsoft.com/office/drawing/2014/main" id="{0BB61300-FCB7-49D3-AF13-4C744A98B7FF}"/>
            </a:ext>
          </a:extLst>
        </xdr:cNvPr>
        <xdr:cNvSpPr>
          <a:spLocks noChangeShapeType="1"/>
        </xdr:cNvSpPr>
      </xdr:nvSpPr>
      <xdr:spPr bwMode="auto">
        <a:xfrm flipV="1">
          <a:off x="8003065" y="1077661"/>
          <a:ext cx="0" cy="372623"/>
        </a:xfrm>
        <a:prstGeom prst="line">
          <a:avLst/>
        </a:prstGeom>
        <a:noFill/>
        <a:ln w="9525">
          <a:solidFill>
            <a:sysClr val="windowText" lastClr="000000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462541</xdr:colOff>
      <xdr:row>20</xdr:row>
      <xdr:rowOff>121904</xdr:rowOff>
    </xdr:from>
    <xdr:to>
      <xdr:col>14</xdr:col>
      <xdr:colOff>137404</xdr:colOff>
      <xdr:row>21</xdr:row>
      <xdr:rowOff>179361</xdr:rowOff>
    </xdr:to>
    <xdr:sp macro="" textlink="">
      <xdr:nvSpPr>
        <xdr:cNvPr id="163" name="Arc 7424">
          <a:extLst>
            <a:ext uri="{FF2B5EF4-FFF2-40B4-BE49-F238E27FC236}">
              <a16:creationId xmlns:a16="http://schemas.microsoft.com/office/drawing/2014/main" id="{80718A54-DB96-4039-9F32-52A7818CA98B}"/>
            </a:ext>
          </a:extLst>
        </xdr:cNvPr>
        <xdr:cNvSpPr>
          <a:spLocks/>
        </xdr:cNvSpPr>
      </xdr:nvSpPr>
      <xdr:spPr bwMode="auto">
        <a:xfrm>
          <a:off x="4780541" y="5173329"/>
          <a:ext cx="141588" cy="286057"/>
        </a:xfrm>
        <a:custGeom>
          <a:avLst/>
          <a:gdLst>
            <a:gd name="T0" fmla="*/ 2147483647 w 21666"/>
            <a:gd name="T1" fmla="*/ 0 h 43200"/>
            <a:gd name="T2" fmla="*/ 0 w 21666"/>
            <a:gd name="T3" fmla="*/ 2147483647 h 43200"/>
            <a:gd name="T4" fmla="*/ 2147483647 w 21666"/>
            <a:gd name="T5" fmla="*/ 2147483647 h 43200"/>
            <a:gd name="T6" fmla="*/ 0 60000 65536"/>
            <a:gd name="T7" fmla="*/ 0 60000 65536"/>
            <a:gd name="T8" fmla="*/ 0 60000 6553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0" t="0" r="r" b="b"/>
          <a:pathLst>
            <a:path w="21666" h="43200" fill="none" extrusionOk="0">
              <a:moveTo>
                <a:pt x="66" y="0"/>
              </a:moveTo>
              <a:cubicBezTo>
                <a:pt x="11995" y="0"/>
                <a:pt x="21666" y="9670"/>
                <a:pt x="21666" y="21600"/>
              </a:cubicBezTo>
              <a:cubicBezTo>
                <a:pt x="21666" y="33529"/>
                <a:pt x="11995" y="43200"/>
                <a:pt x="66" y="43200"/>
              </a:cubicBezTo>
              <a:cubicBezTo>
                <a:pt x="44" y="43200"/>
                <a:pt x="22" y="43199"/>
                <a:pt x="0" y="43199"/>
              </a:cubicBezTo>
            </a:path>
            <a:path w="21666" h="43200" stroke="0" extrusionOk="0">
              <a:moveTo>
                <a:pt x="66" y="0"/>
              </a:moveTo>
              <a:cubicBezTo>
                <a:pt x="11995" y="0"/>
                <a:pt x="21666" y="9670"/>
                <a:pt x="21666" y="21600"/>
              </a:cubicBezTo>
              <a:cubicBezTo>
                <a:pt x="21666" y="33529"/>
                <a:pt x="11995" y="43200"/>
                <a:pt x="66" y="43200"/>
              </a:cubicBezTo>
              <a:cubicBezTo>
                <a:pt x="44" y="43200"/>
                <a:pt x="22" y="43199"/>
                <a:pt x="0" y="43199"/>
              </a:cubicBezTo>
              <a:lnTo>
                <a:pt x="66" y="21600"/>
              </a:lnTo>
              <a:lnTo>
                <a:pt x="66" y="0"/>
              </a:lnTo>
              <a:close/>
            </a:path>
          </a:pathLst>
        </a:custGeom>
        <a:noFill/>
        <a:ln w="9525">
          <a:solidFill>
            <a:sysClr val="windowText" lastClr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/>
  </xdr:twoCellAnchor>
  <xdr:twoCellAnchor>
    <xdr:from>
      <xdr:col>21</xdr:col>
      <xdr:colOff>1728</xdr:colOff>
      <xdr:row>5</xdr:row>
      <xdr:rowOff>201957</xdr:rowOff>
    </xdr:from>
    <xdr:to>
      <xdr:col>21</xdr:col>
      <xdr:colOff>1728</xdr:colOff>
      <xdr:row>8</xdr:row>
      <xdr:rowOff>225562</xdr:rowOff>
    </xdr:to>
    <xdr:sp macro="" textlink="">
      <xdr:nvSpPr>
        <xdr:cNvPr id="164" name="Line 7412">
          <a:extLst>
            <a:ext uri="{FF2B5EF4-FFF2-40B4-BE49-F238E27FC236}">
              <a16:creationId xmlns:a16="http://schemas.microsoft.com/office/drawing/2014/main" id="{C1C45E74-AB09-4ACF-9D06-DCDE164D9DCC}"/>
            </a:ext>
          </a:extLst>
        </xdr:cNvPr>
        <xdr:cNvSpPr>
          <a:spLocks noChangeShapeType="1"/>
        </xdr:cNvSpPr>
      </xdr:nvSpPr>
      <xdr:spPr bwMode="auto">
        <a:xfrm>
          <a:off x="8002728" y="1732307"/>
          <a:ext cx="0" cy="684005"/>
        </a:xfrm>
        <a:prstGeom prst="line">
          <a:avLst/>
        </a:prstGeom>
        <a:noFill/>
        <a:ln w="9525">
          <a:solidFill>
            <a:sysClr val="windowText" lastClr="000000"/>
          </a:solidFill>
          <a:round/>
          <a:headEnd type="non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2065</xdr:colOff>
      <xdr:row>8</xdr:row>
      <xdr:rowOff>125300</xdr:rowOff>
    </xdr:from>
    <xdr:to>
      <xdr:col>24</xdr:col>
      <xdr:colOff>2065</xdr:colOff>
      <xdr:row>10</xdr:row>
      <xdr:rowOff>24847</xdr:rowOff>
    </xdr:to>
    <xdr:sp macro="" textlink="">
      <xdr:nvSpPr>
        <xdr:cNvPr id="165" name="Line 50">
          <a:extLst>
            <a:ext uri="{FF2B5EF4-FFF2-40B4-BE49-F238E27FC236}">
              <a16:creationId xmlns:a16="http://schemas.microsoft.com/office/drawing/2014/main" id="{603B94BB-012D-4251-9814-CB72739A8EB9}"/>
            </a:ext>
          </a:extLst>
        </xdr:cNvPr>
        <xdr:cNvSpPr>
          <a:spLocks noChangeShapeType="1"/>
        </xdr:cNvSpPr>
      </xdr:nvSpPr>
      <xdr:spPr bwMode="auto">
        <a:xfrm>
          <a:off x="10365265" y="2312875"/>
          <a:ext cx="0" cy="363097"/>
        </a:xfrm>
        <a:prstGeom prst="line">
          <a:avLst/>
        </a:prstGeom>
        <a:noFill/>
        <a:ln w="9525">
          <a:solidFill>
            <a:sysClr val="windowText" lastClr="000000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661</xdr:colOff>
      <xdr:row>4</xdr:row>
      <xdr:rowOff>374260</xdr:rowOff>
    </xdr:from>
    <xdr:to>
      <xdr:col>17</xdr:col>
      <xdr:colOff>151439</xdr:colOff>
      <xdr:row>5</xdr:row>
      <xdr:rowOff>219552</xdr:rowOff>
    </xdr:to>
    <xdr:sp macro="" textlink="">
      <xdr:nvSpPr>
        <xdr:cNvPr id="166" name="Arc 7413">
          <a:extLst>
            <a:ext uri="{FF2B5EF4-FFF2-40B4-BE49-F238E27FC236}">
              <a16:creationId xmlns:a16="http://schemas.microsoft.com/office/drawing/2014/main" id="{81966247-B7F9-4E02-86D2-23F0BD837CCF}"/>
            </a:ext>
          </a:extLst>
        </xdr:cNvPr>
        <xdr:cNvSpPr>
          <a:spLocks/>
        </xdr:cNvSpPr>
      </xdr:nvSpPr>
      <xdr:spPr bwMode="auto">
        <a:xfrm>
          <a:off x="6210961" y="1456935"/>
          <a:ext cx="150778" cy="292967"/>
        </a:xfrm>
        <a:custGeom>
          <a:avLst/>
          <a:gdLst>
            <a:gd name="T0" fmla="*/ 0 w 23017"/>
            <a:gd name="T1" fmla="*/ 2147483647 h 43200"/>
            <a:gd name="T2" fmla="*/ 2147483647 w 23017"/>
            <a:gd name="T3" fmla="*/ 2147483647 h 43200"/>
            <a:gd name="T4" fmla="*/ 2147483647 w 23017"/>
            <a:gd name="T5" fmla="*/ 2147483647 h 43200"/>
            <a:gd name="T6" fmla="*/ 0 60000 65536"/>
            <a:gd name="T7" fmla="*/ 0 60000 65536"/>
            <a:gd name="T8" fmla="*/ 0 60000 6553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0" t="0" r="r" b="b"/>
          <a:pathLst>
            <a:path w="23017" h="43200" fill="none" extrusionOk="0">
              <a:moveTo>
                <a:pt x="-1" y="46"/>
              </a:moveTo>
              <a:cubicBezTo>
                <a:pt x="471" y="15"/>
                <a:pt x="944" y="-1"/>
                <a:pt x="1417" y="0"/>
              </a:cubicBezTo>
              <a:cubicBezTo>
                <a:pt x="13346" y="0"/>
                <a:pt x="23017" y="9670"/>
                <a:pt x="23017" y="21600"/>
              </a:cubicBezTo>
              <a:cubicBezTo>
                <a:pt x="23017" y="33529"/>
                <a:pt x="13346" y="43200"/>
                <a:pt x="1417" y="43200"/>
              </a:cubicBezTo>
              <a:cubicBezTo>
                <a:pt x="1395" y="43200"/>
                <a:pt x="1373" y="43199"/>
                <a:pt x="1351" y="43199"/>
              </a:cubicBezTo>
            </a:path>
            <a:path w="23017" h="43200" stroke="0" extrusionOk="0">
              <a:moveTo>
                <a:pt x="-1" y="46"/>
              </a:moveTo>
              <a:cubicBezTo>
                <a:pt x="471" y="15"/>
                <a:pt x="944" y="-1"/>
                <a:pt x="1417" y="0"/>
              </a:cubicBezTo>
              <a:cubicBezTo>
                <a:pt x="13346" y="0"/>
                <a:pt x="23017" y="9670"/>
                <a:pt x="23017" y="21600"/>
              </a:cubicBezTo>
              <a:cubicBezTo>
                <a:pt x="23017" y="33529"/>
                <a:pt x="13346" y="43200"/>
                <a:pt x="1417" y="43200"/>
              </a:cubicBezTo>
              <a:cubicBezTo>
                <a:pt x="1395" y="43200"/>
                <a:pt x="1373" y="43199"/>
                <a:pt x="1351" y="43199"/>
              </a:cubicBezTo>
              <a:lnTo>
                <a:pt x="1417" y="21600"/>
              </a:lnTo>
              <a:lnTo>
                <a:pt x="-1" y="46"/>
              </a:lnTo>
              <a:close/>
            </a:path>
          </a:pathLst>
        </a:custGeom>
        <a:noFill/>
        <a:ln w="9525">
          <a:solidFill>
            <a:sysClr val="windowText" lastClr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/>
  </xdr:twoCellAnchor>
  <xdr:twoCellAnchor>
    <xdr:from>
      <xdr:col>21</xdr:col>
      <xdr:colOff>1141</xdr:colOff>
      <xdr:row>4</xdr:row>
      <xdr:rowOff>357303</xdr:rowOff>
    </xdr:from>
    <xdr:to>
      <xdr:col>21</xdr:col>
      <xdr:colOff>151374</xdr:colOff>
      <xdr:row>5</xdr:row>
      <xdr:rowOff>202595</xdr:rowOff>
    </xdr:to>
    <xdr:sp macro="" textlink="">
      <xdr:nvSpPr>
        <xdr:cNvPr id="167" name="Arc 7413">
          <a:extLst>
            <a:ext uri="{FF2B5EF4-FFF2-40B4-BE49-F238E27FC236}">
              <a16:creationId xmlns:a16="http://schemas.microsoft.com/office/drawing/2014/main" id="{FF2C7C86-9D89-4967-BBEA-148FEF2E98AF}"/>
            </a:ext>
          </a:extLst>
        </xdr:cNvPr>
        <xdr:cNvSpPr>
          <a:spLocks/>
        </xdr:cNvSpPr>
      </xdr:nvSpPr>
      <xdr:spPr bwMode="auto">
        <a:xfrm>
          <a:off x="8002141" y="1439978"/>
          <a:ext cx="150233" cy="292967"/>
        </a:xfrm>
        <a:custGeom>
          <a:avLst/>
          <a:gdLst>
            <a:gd name="T0" fmla="*/ 0 w 23017"/>
            <a:gd name="T1" fmla="*/ 2147483647 h 43200"/>
            <a:gd name="T2" fmla="*/ 2147483647 w 23017"/>
            <a:gd name="T3" fmla="*/ 2147483647 h 43200"/>
            <a:gd name="T4" fmla="*/ 2147483647 w 23017"/>
            <a:gd name="T5" fmla="*/ 2147483647 h 43200"/>
            <a:gd name="T6" fmla="*/ 0 60000 65536"/>
            <a:gd name="T7" fmla="*/ 0 60000 65536"/>
            <a:gd name="T8" fmla="*/ 0 60000 6553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0" t="0" r="r" b="b"/>
          <a:pathLst>
            <a:path w="23017" h="43200" fill="none" extrusionOk="0">
              <a:moveTo>
                <a:pt x="-1" y="46"/>
              </a:moveTo>
              <a:cubicBezTo>
                <a:pt x="471" y="15"/>
                <a:pt x="944" y="-1"/>
                <a:pt x="1417" y="0"/>
              </a:cubicBezTo>
              <a:cubicBezTo>
                <a:pt x="13346" y="0"/>
                <a:pt x="23017" y="9670"/>
                <a:pt x="23017" y="21600"/>
              </a:cubicBezTo>
              <a:cubicBezTo>
                <a:pt x="23017" y="33529"/>
                <a:pt x="13346" y="43200"/>
                <a:pt x="1417" y="43200"/>
              </a:cubicBezTo>
              <a:cubicBezTo>
                <a:pt x="1395" y="43200"/>
                <a:pt x="1373" y="43199"/>
                <a:pt x="1351" y="43199"/>
              </a:cubicBezTo>
            </a:path>
            <a:path w="23017" h="43200" stroke="0" extrusionOk="0">
              <a:moveTo>
                <a:pt x="-1" y="46"/>
              </a:moveTo>
              <a:cubicBezTo>
                <a:pt x="471" y="15"/>
                <a:pt x="944" y="-1"/>
                <a:pt x="1417" y="0"/>
              </a:cubicBezTo>
              <a:cubicBezTo>
                <a:pt x="13346" y="0"/>
                <a:pt x="23017" y="9670"/>
                <a:pt x="23017" y="21600"/>
              </a:cubicBezTo>
              <a:cubicBezTo>
                <a:pt x="23017" y="33529"/>
                <a:pt x="13346" y="43200"/>
                <a:pt x="1417" y="43200"/>
              </a:cubicBezTo>
              <a:cubicBezTo>
                <a:pt x="1395" y="43200"/>
                <a:pt x="1373" y="43199"/>
                <a:pt x="1351" y="43199"/>
              </a:cubicBezTo>
              <a:lnTo>
                <a:pt x="1417" y="21600"/>
              </a:lnTo>
              <a:lnTo>
                <a:pt x="-1" y="46"/>
              </a:lnTo>
              <a:close/>
            </a:path>
          </a:pathLst>
        </a:custGeom>
        <a:noFill/>
        <a:ln w="9525">
          <a:solidFill>
            <a:sysClr val="windowText" lastClr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/>
  </xdr:twoCellAnchor>
  <xdr:twoCellAnchor>
    <xdr:from>
      <xdr:col>23</xdr:col>
      <xdr:colOff>806434</xdr:colOff>
      <xdr:row>4</xdr:row>
      <xdr:rowOff>366737</xdr:rowOff>
    </xdr:from>
    <xdr:to>
      <xdr:col>24</xdr:col>
      <xdr:colOff>137648</xdr:colOff>
      <xdr:row>5</xdr:row>
      <xdr:rowOff>205679</xdr:rowOff>
    </xdr:to>
    <xdr:sp macro="" textlink="">
      <xdr:nvSpPr>
        <xdr:cNvPr id="168" name="Arc 7413">
          <a:extLst>
            <a:ext uri="{FF2B5EF4-FFF2-40B4-BE49-F238E27FC236}">
              <a16:creationId xmlns:a16="http://schemas.microsoft.com/office/drawing/2014/main" id="{DCE679CA-C00F-4098-A5D8-940D327FAA57}"/>
            </a:ext>
          </a:extLst>
        </xdr:cNvPr>
        <xdr:cNvSpPr>
          <a:spLocks/>
        </xdr:cNvSpPr>
      </xdr:nvSpPr>
      <xdr:spPr bwMode="auto">
        <a:xfrm>
          <a:off x="10363184" y="1455762"/>
          <a:ext cx="140839" cy="280267"/>
        </a:xfrm>
        <a:custGeom>
          <a:avLst/>
          <a:gdLst>
            <a:gd name="T0" fmla="*/ 0 w 23017"/>
            <a:gd name="T1" fmla="*/ 2147483647 h 43200"/>
            <a:gd name="T2" fmla="*/ 2147483647 w 23017"/>
            <a:gd name="T3" fmla="*/ 2147483647 h 43200"/>
            <a:gd name="T4" fmla="*/ 2147483647 w 23017"/>
            <a:gd name="T5" fmla="*/ 2147483647 h 43200"/>
            <a:gd name="T6" fmla="*/ 0 60000 65536"/>
            <a:gd name="T7" fmla="*/ 0 60000 65536"/>
            <a:gd name="T8" fmla="*/ 0 60000 6553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0" t="0" r="r" b="b"/>
          <a:pathLst>
            <a:path w="23017" h="43200" fill="none" extrusionOk="0">
              <a:moveTo>
                <a:pt x="-1" y="46"/>
              </a:moveTo>
              <a:cubicBezTo>
                <a:pt x="471" y="15"/>
                <a:pt x="944" y="-1"/>
                <a:pt x="1417" y="0"/>
              </a:cubicBezTo>
              <a:cubicBezTo>
                <a:pt x="13346" y="0"/>
                <a:pt x="23017" y="9670"/>
                <a:pt x="23017" y="21600"/>
              </a:cubicBezTo>
              <a:cubicBezTo>
                <a:pt x="23017" y="33529"/>
                <a:pt x="13346" y="43200"/>
                <a:pt x="1417" y="43200"/>
              </a:cubicBezTo>
              <a:cubicBezTo>
                <a:pt x="1395" y="43200"/>
                <a:pt x="1373" y="43199"/>
                <a:pt x="1351" y="43199"/>
              </a:cubicBezTo>
            </a:path>
            <a:path w="23017" h="43200" stroke="0" extrusionOk="0">
              <a:moveTo>
                <a:pt x="-1" y="46"/>
              </a:moveTo>
              <a:cubicBezTo>
                <a:pt x="471" y="15"/>
                <a:pt x="944" y="-1"/>
                <a:pt x="1417" y="0"/>
              </a:cubicBezTo>
              <a:cubicBezTo>
                <a:pt x="13346" y="0"/>
                <a:pt x="23017" y="9670"/>
                <a:pt x="23017" y="21600"/>
              </a:cubicBezTo>
              <a:cubicBezTo>
                <a:pt x="23017" y="33529"/>
                <a:pt x="13346" y="43200"/>
                <a:pt x="1417" y="43200"/>
              </a:cubicBezTo>
              <a:cubicBezTo>
                <a:pt x="1395" y="43200"/>
                <a:pt x="1373" y="43199"/>
                <a:pt x="1351" y="43199"/>
              </a:cubicBezTo>
              <a:lnTo>
                <a:pt x="1417" y="21600"/>
              </a:lnTo>
              <a:lnTo>
                <a:pt x="-1" y="46"/>
              </a:lnTo>
              <a:close/>
            </a:path>
          </a:pathLst>
        </a:custGeom>
        <a:noFill/>
        <a:ln w="9525">
          <a:solidFill>
            <a:sysClr val="windowText" lastClr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/>
  </xdr:twoCellAnchor>
  <xdr:twoCellAnchor>
    <xdr:from>
      <xdr:col>24</xdr:col>
      <xdr:colOff>885290</xdr:colOff>
      <xdr:row>4</xdr:row>
      <xdr:rowOff>351141</xdr:rowOff>
    </xdr:from>
    <xdr:to>
      <xdr:col>25</xdr:col>
      <xdr:colOff>132436</xdr:colOff>
      <xdr:row>5</xdr:row>
      <xdr:rowOff>202783</xdr:rowOff>
    </xdr:to>
    <xdr:sp macro="" textlink="">
      <xdr:nvSpPr>
        <xdr:cNvPr id="169" name="Arc 7413">
          <a:extLst>
            <a:ext uri="{FF2B5EF4-FFF2-40B4-BE49-F238E27FC236}">
              <a16:creationId xmlns:a16="http://schemas.microsoft.com/office/drawing/2014/main" id="{66CF8D49-BC85-40F5-9186-9B73B994E1C2}"/>
            </a:ext>
          </a:extLst>
        </xdr:cNvPr>
        <xdr:cNvSpPr>
          <a:spLocks/>
        </xdr:cNvSpPr>
      </xdr:nvSpPr>
      <xdr:spPr bwMode="auto">
        <a:xfrm>
          <a:off x="11251665" y="1440166"/>
          <a:ext cx="129796" cy="292967"/>
        </a:xfrm>
        <a:custGeom>
          <a:avLst/>
          <a:gdLst>
            <a:gd name="T0" fmla="*/ 0 w 23017"/>
            <a:gd name="T1" fmla="*/ 2147483647 h 43200"/>
            <a:gd name="T2" fmla="*/ 2147483647 w 23017"/>
            <a:gd name="T3" fmla="*/ 2147483647 h 43200"/>
            <a:gd name="T4" fmla="*/ 2147483647 w 23017"/>
            <a:gd name="T5" fmla="*/ 2147483647 h 43200"/>
            <a:gd name="T6" fmla="*/ 0 60000 65536"/>
            <a:gd name="T7" fmla="*/ 0 60000 65536"/>
            <a:gd name="T8" fmla="*/ 0 60000 6553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0" t="0" r="r" b="b"/>
          <a:pathLst>
            <a:path w="23017" h="43200" fill="none" extrusionOk="0">
              <a:moveTo>
                <a:pt x="-1" y="46"/>
              </a:moveTo>
              <a:cubicBezTo>
                <a:pt x="471" y="15"/>
                <a:pt x="944" y="-1"/>
                <a:pt x="1417" y="0"/>
              </a:cubicBezTo>
              <a:cubicBezTo>
                <a:pt x="13346" y="0"/>
                <a:pt x="23017" y="9670"/>
                <a:pt x="23017" y="21600"/>
              </a:cubicBezTo>
              <a:cubicBezTo>
                <a:pt x="23017" y="33529"/>
                <a:pt x="13346" y="43200"/>
                <a:pt x="1417" y="43200"/>
              </a:cubicBezTo>
              <a:cubicBezTo>
                <a:pt x="1395" y="43200"/>
                <a:pt x="1373" y="43199"/>
                <a:pt x="1351" y="43199"/>
              </a:cubicBezTo>
            </a:path>
            <a:path w="23017" h="43200" stroke="0" extrusionOk="0">
              <a:moveTo>
                <a:pt x="-1" y="46"/>
              </a:moveTo>
              <a:cubicBezTo>
                <a:pt x="471" y="15"/>
                <a:pt x="944" y="-1"/>
                <a:pt x="1417" y="0"/>
              </a:cubicBezTo>
              <a:cubicBezTo>
                <a:pt x="13346" y="0"/>
                <a:pt x="23017" y="9670"/>
                <a:pt x="23017" y="21600"/>
              </a:cubicBezTo>
              <a:cubicBezTo>
                <a:pt x="23017" y="33529"/>
                <a:pt x="13346" y="43200"/>
                <a:pt x="1417" y="43200"/>
              </a:cubicBezTo>
              <a:cubicBezTo>
                <a:pt x="1395" y="43200"/>
                <a:pt x="1373" y="43199"/>
                <a:pt x="1351" y="43199"/>
              </a:cubicBezTo>
              <a:lnTo>
                <a:pt x="1417" y="21600"/>
              </a:lnTo>
              <a:lnTo>
                <a:pt x="-1" y="46"/>
              </a:lnTo>
              <a:close/>
            </a:path>
          </a:pathLst>
        </a:custGeom>
        <a:noFill/>
        <a:ln w="9525">
          <a:solidFill>
            <a:sysClr val="windowText" lastClr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/>
  </xdr:twoCellAnchor>
  <xdr:twoCellAnchor>
    <xdr:from>
      <xdr:col>44</xdr:col>
      <xdr:colOff>0</xdr:colOff>
      <xdr:row>5</xdr:row>
      <xdr:rowOff>29845</xdr:rowOff>
    </xdr:from>
    <xdr:to>
      <xdr:col>52</xdr:col>
      <xdr:colOff>218635</xdr:colOff>
      <xdr:row>11</xdr:row>
      <xdr:rowOff>347</xdr:rowOff>
    </xdr:to>
    <xdr:grpSp>
      <xdr:nvGrpSpPr>
        <xdr:cNvPr id="170" name="群組 169">
          <a:extLst>
            <a:ext uri="{FF2B5EF4-FFF2-40B4-BE49-F238E27FC236}">
              <a16:creationId xmlns:a16="http://schemas.microsoft.com/office/drawing/2014/main" id="{6CF6BE48-E3F5-49C4-9622-DA820584ABEC}"/>
            </a:ext>
          </a:extLst>
        </xdr:cNvPr>
        <xdr:cNvGrpSpPr/>
      </xdr:nvGrpSpPr>
      <xdr:grpSpPr>
        <a:xfrm>
          <a:off x="18288000" y="1585306"/>
          <a:ext cx="3945219" cy="1307177"/>
          <a:chOff x="18479210" y="1486837"/>
          <a:chExt cx="3810138" cy="1332000"/>
        </a:xfrm>
      </xdr:grpSpPr>
      <xdr:sp macro="" textlink="">
        <xdr:nvSpPr>
          <xdr:cNvPr id="171" name="Line 11">
            <a:extLst>
              <a:ext uri="{FF2B5EF4-FFF2-40B4-BE49-F238E27FC236}">
                <a16:creationId xmlns:a16="http://schemas.microsoft.com/office/drawing/2014/main" id="{35DCCFB0-731F-E88D-3488-1558847CEBD0}"/>
              </a:ext>
            </a:extLst>
          </xdr:cNvPr>
          <xdr:cNvSpPr>
            <a:spLocks noChangeShapeType="1"/>
          </xdr:cNvSpPr>
        </xdr:nvSpPr>
        <xdr:spPr bwMode="auto">
          <a:xfrm>
            <a:off x="18479210" y="2811603"/>
            <a:ext cx="3771190" cy="0"/>
          </a:xfrm>
          <a:prstGeom prst="line">
            <a:avLst/>
          </a:prstGeom>
          <a:noFill/>
          <a:ln w="9525">
            <a:solidFill>
              <a:sysClr val="windowText" lastClr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cxnSp macro="">
        <xdr:nvCxnSpPr>
          <xdr:cNvPr id="172" name="肘形接點 119">
            <a:extLst>
              <a:ext uri="{FF2B5EF4-FFF2-40B4-BE49-F238E27FC236}">
                <a16:creationId xmlns:a16="http://schemas.microsoft.com/office/drawing/2014/main" id="{974136A3-D0AE-9301-87A0-C2582F5B3EE9}"/>
              </a:ext>
            </a:extLst>
          </xdr:cNvPr>
          <xdr:cNvCxnSpPr>
            <a:cxnSpLocks noChangeShapeType="1"/>
          </xdr:cNvCxnSpPr>
        </xdr:nvCxnSpPr>
        <xdr:spPr bwMode="auto">
          <a:xfrm rot="5400000" flipH="1" flipV="1">
            <a:off x="20831348" y="1360837"/>
            <a:ext cx="1332000" cy="1584000"/>
          </a:xfrm>
          <a:prstGeom prst="bentConnector3">
            <a:avLst>
              <a:gd name="adj1" fmla="val 100602"/>
            </a:avLst>
          </a:prstGeom>
          <a:noFill/>
          <a:ln w="9525">
            <a:solidFill>
              <a:sysClr val="windowText" lastClr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</xdr:grpSp>
    <xdr:clientData/>
  </xdr:twoCellAnchor>
  <xdr:twoCellAnchor>
    <xdr:from>
      <xdr:col>41</xdr:col>
      <xdr:colOff>7721</xdr:colOff>
      <xdr:row>12</xdr:row>
      <xdr:rowOff>0</xdr:rowOff>
    </xdr:from>
    <xdr:to>
      <xdr:col>44</xdr:col>
      <xdr:colOff>373692</xdr:colOff>
      <xdr:row>18</xdr:row>
      <xdr:rowOff>2423</xdr:rowOff>
    </xdr:to>
    <xdr:grpSp>
      <xdr:nvGrpSpPr>
        <xdr:cNvPr id="173" name="群組 172">
          <a:extLst>
            <a:ext uri="{FF2B5EF4-FFF2-40B4-BE49-F238E27FC236}">
              <a16:creationId xmlns:a16="http://schemas.microsoft.com/office/drawing/2014/main" id="{8A38D125-AB11-4D55-9B0A-77E11046C078}"/>
            </a:ext>
          </a:extLst>
        </xdr:cNvPr>
        <xdr:cNvGrpSpPr/>
      </xdr:nvGrpSpPr>
      <xdr:grpSpPr>
        <a:xfrm>
          <a:off x="17225169" y="3134591"/>
          <a:ext cx="1433348" cy="1370559"/>
          <a:chOff x="16885892" y="3076886"/>
          <a:chExt cx="1394138" cy="1369222"/>
        </a:xfrm>
      </xdr:grpSpPr>
      <xdr:sp macro="" textlink="">
        <xdr:nvSpPr>
          <xdr:cNvPr id="174" name="Line 63">
            <a:extLst>
              <a:ext uri="{FF2B5EF4-FFF2-40B4-BE49-F238E27FC236}">
                <a16:creationId xmlns:a16="http://schemas.microsoft.com/office/drawing/2014/main" id="{E88C9E4A-0BA4-2846-73FC-4D1DF6C298C8}"/>
              </a:ext>
            </a:extLst>
          </xdr:cNvPr>
          <xdr:cNvSpPr>
            <a:spLocks noChangeShapeType="1"/>
          </xdr:cNvSpPr>
        </xdr:nvSpPr>
        <xdr:spPr bwMode="auto">
          <a:xfrm flipH="1">
            <a:off x="16885892" y="3315862"/>
            <a:ext cx="591923" cy="0"/>
          </a:xfrm>
          <a:prstGeom prst="line">
            <a:avLst/>
          </a:prstGeom>
          <a:noFill/>
          <a:ln w="9525">
            <a:solidFill>
              <a:sysClr val="windowText" lastClr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75" name="Arc 7405">
            <a:extLst>
              <a:ext uri="{FF2B5EF4-FFF2-40B4-BE49-F238E27FC236}">
                <a16:creationId xmlns:a16="http://schemas.microsoft.com/office/drawing/2014/main" id="{E6DF7E16-4F98-3527-4FD7-A91C6F344D89}"/>
              </a:ext>
            </a:extLst>
          </xdr:cNvPr>
          <xdr:cNvSpPr>
            <a:spLocks/>
          </xdr:cNvSpPr>
        </xdr:nvSpPr>
        <xdr:spPr bwMode="auto">
          <a:xfrm>
            <a:off x="17819583" y="3164655"/>
            <a:ext cx="277867" cy="141776"/>
          </a:xfrm>
          <a:custGeom>
            <a:avLst/>
            <a:gdLst>
              <a:gd name="T0" fmla="*/ 2147483647 w 43200"/>
              <a:gd name="T1" fmla="*/ 2147483647 h 22298"/>
              <a:gd name="T2" fmla="*/ 2147483647 w 43200"/>
              <a:gd name="T3" fmla="*/ 2147483647 h 22298"/>
              <a:gd name="T4" fmla="*/ 2147483647 w 43200"/>
              <a:gd name="T5" fmla="*/ 2147483647 h 22298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43200" h="22298" fill="none" extrusionOk="0">
                <a:moveTo>
                  <a:pt x="11" y="22297"/>
                </a:moveTo>
                <a:cubicBezTo>
                  <a:pt x="3" y="22065"/>
                  <a:pt x="0" y="21832"/>
                  <a:pt x="0" y="21600"/>
                </a:cubicBezTo>
                <a:cubicBezTo>
                  <a:pt x="0" y="9670"/>
                  <a:pt x="9670" y="0"/>
                  <a:pt x="21600" y="0"/>
                </a:cubicBezTo>
                <a:cubicBezTo>
                  <a:pt x="33529" y="-1"/>
                  <a:pt x="43199" y="9670"/>
                  <a:pt x="43200" y="21599"/>
                </a:cubicBezTo>
              </a:path>
              <a:path w="43200" h="22298" stroke="0" extrusionOk="0">
                <a:moveTo>
                  <a:pt x="11" y="22297"/>
                </a:moveTo>
                <a:cubicBezTo>
                  <a:pt x="3" y="22065"/>
                  <a:pt x="0" y="21832"/>
                  <a:pt x="0" y="21600"/>
                </a:cubicBezTo>
                <a:cubicBezTo>
                  <a:pt x="0" y="9670"/>
                  <a:pt x="9670" y="0"/>
                  <a:pt x="21600" y="0"/>
                </a:cubicBezTo>
                <a:cubicBezTo>
                  <a:pt x="33529" y="-1"/>
                  <a:pt x="43199" y="9670"/>
                  <a:pt x="43200" y="21599"/>
                </a:cubicBezTo>
                <a:lnTo>
                  <a:pt x="21600" y="21600"/>
                </a:lnTo>
                <a:lnTo>
                  <a:pt x="11" y="22297"/>
                </a:lnTo>
                <a:close/>
              </a:path>
            </a:pathLst>
          </a:custGeom>
          <a:noFill/>
          <a:ln w="9525">
            <a:solidFill>
              <a:sysClr val="windowText" lastClr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</a:extLst>
        </xdr:spPr>
      </xdr:sp>
      <xdr:sp macro="" textlink="">
        <xdr:nvSpPr>
          <xdr:cNvPr id="176" name="Line 63">
            <a:extLst>
              <a:ext uri="{FF2B5EF4-FFF2-40B4-BE49-F238E27FC236}">
                <a16:creationId xmlns:a16="http://schemas.microsoft.com/office/drawing/2014/main" id="{F3445071-7851-FAEE-98C1-19CB7731EEE2}"/>
              </a:ext>
            </a:extLst>
          </xdr:cNvPr>
          <xdr:cNvSpPr>
            <a:spLocks noChangeShapeType="1"/>
          </xdr:cNvSpPr>
        </xdr:nvSpPr>
        <xdr:spPr bwMode="auto">
          <a:xfrm flipH="1">
            <a:off x="17752827" y="3311465"/>
            <a:ext cx="67722" cy="0"/>
          </a:xfrm>
          <a:prstGeom prst="line">
            <a:avLst/>
          </a:prstGeom>
          <a:noFill/>
          <a:ln w="9525">
            <a:solidFill>
              <a:sysClr val="windowText" lastClr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77" name="Line 50">
            <a:extLst>
              <a:ext uri="{FF2B5EF4-FFF2-40B4-BE49-F238E27FC236}">
                <a16:creationId xmlns:a16="http://schemas.microsoft.com/office/drawing/2014/main" id="{5F1FD45F-4D07-16B9-CF74-6DA728FD1685}"/>
              </a:ext>
            </a:extLst>
          </xdr:cNvPr>
          <xdr:cNvSpPr>
            <a:spLocks noChangeShapeType="1"/>
          </xdr:cNvSpPr>
        </xdr:nvSpPr>
        <xdr:spPr bwMode="auto">
          <a:xfrm>
            <a:off x="17617725" y="3076886"/>
            <a:ext cx="0" cy="1369222"/>
          </a:xfrm>
          <a:prstGeom prst="line">
            <a:avLst/>
          </a:prstGeom>
          <a:noFill/>
          <a:ln w="9525">
            <a:solidFill>
              <a:sysClr val="windowText" lastClr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78" name="Arc 7405">
            <a:extLst>
              <a:ext uri="{FF2B5EF4-FFF2-40B4-BE49-F238E27FC236}">
                <a16:creationId xmlns:a16="http://schemas.microsoft.com/office/drawing/2014/main" id="{5868FA85-62E9-BC3D-51DA-B8994E5BE9BB}"/>
              </a:ext>
            </a:extLst>
          </xdr:cNvPr>
          <xdr:cNvSpPr>
            <a:spLocks/>
          </xdr:cNvSpPr>
        </xdr:nvSpPr>
        <xdr:spPr bwMode="auto">
          <a:xfrm>
            <a:off x="17474700" y="3169777"/>
            <a:ext cx="279053" cy="139470"/>
          </a:xfrm>
          <a:custGeom>
            <a:avLst/>
            <a:gdLst>
              <a:gd name="T0" fmla="*/ 2147483647 w 43200"/>
              <a:gd name="T1" fmla="*/ 2147483647 h 22298"/>
              <a:gd name="T2" fmla="*/ 2147483647 w 43200"/>
              <a:gd name="T3" fmla="*/ 2147483647 h 22298"/>
              <a:gd name="T4" fmla="*/ 2147483647 w 43200"/>
              <a:gd name="T5" fmla="*/ 2147483647 h 22298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43200" h="22298" fill="none" extrusionOk="0">
                <a:moveTo>
                  <a:pt x="11" y="22297"/>
                </a:moveTo>
                <a:cubicBezTo>
                  <a:pt x="3" y="22065"/>
                  <a:pt x="0" y="21832"/>
                  <a:pt x="0" y="21600"/>
                </a:cubicBezTo>
                <a:cubicBezTo>
                  <a:pt x="0" y="9670"/>
                  <a:pt x="9670" y="0"/>
                  <a:pt x="21600" y="0"/>
                </a:cubicBezTo>
                <a:cubicBezTo>
                  <a:pt x="33529" y="-1"/>
                  <a:pt x="43199" y="9670"/>
                  <a:pt x="43200" y="21599"/>
                </a:cubicBezTo>
              </a:path>
              <a:path w="43200" h="22298" stroke="0" extrusionOk="0">
                <a:moveTo>
                  <a:pt x="11" y="22297"/>
                </a:moveTo>
                <a:cubicBezTo>
                  <a:pt x="3" y="22065"/>
                  <a:pt x="0" y="21832"/>
                  <a:pt x="0" y="21600"/>
                </a:cubicBezTo>
                <a:cubicBezTo>
                  <a:pt x="0" y="9670"/>
                  <a:pt x="9670" y="0"/>
                  <a:pt x="21600" y="0"/>
                </a:cubicBezTo>
                <a:cubicBezTo>
                  <a:pt x="33529" y="-1"/>
                  <a:pt x="43199" y="9670"/>
                  <a:pt x="43200" y="21599"/>
                </a:cubicBezTo>
                <a:lnTo>
                  <a:pt x="21600" y="21600"/>
                </a:lnTo>
                <a:lnTo>
                  <a:pt x="11" y="22297"/>
                </a:lnTo>
                <a:close/>
              </a:path>
            </a:pathLst>
          </a:custGeom>
          <a:noFill/>
          <a:ln w="9525">
            <a:solidFill>
              <a:sysClr val="windowText" lastClr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</a:extLst>
        </xdr:spPr>
      </xdr:sp>
      <xdr:sp macro="" textlink="">
        <xdr:nvSpPr>
          <xdr:cNvPr id="179" name="Line 63">
            <a:extLst>
              <a:ext uri="{FF2B5EF4-FFF2-40B4-BE49-F238E27FC236}">
                <a16:creationId xmlns:a16="http://schemas.microsoft.com/office/drawing/2014/main" id="{F722D0DD-FF89-C2B3-4514-E13779FC50FC}"/>
              </a:ext>
            </a:extLst>
          </xdr:cNvPr>
          <xdr:cNvSpPr>
            <a:spLocks noChangeShapeType="1"/>
          </xdr:cNvSpPr>
        </xdr:nvSpPr>
        <xdr:spPr bwMode="auto">
          <a:xfrm flipH="1">
            <a:off x="18098237" y="3296817"/>
            <a:ext cx="181793" cy="0"/>
          </a:xfrm>
          <a:prstGeom prst="line">
            <a:avLst/>
          </a:prstGeom>
          <a:noFill/>
          <a:ln w="9525">
            <a:solidFill>
              <a:sysClr val="windowText" lastClr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13</xdr:col>
      <xdr:colOff>329054</xdr:colOff>
      <xdr:row>26</xdr:row>
      <xdr:rowOff>75758</xdr:rowOff>
    </xdr:from>
    <xdr:to>
      <xdr:col>14</xdr:col>
      <xdr:colOff>154736</xdr:colOff>
      <xdr:row>26</xdr:row>
      <xdr:rowOff>226173</xdr:rowOff>
    </xdr:to>
    <xdr:sp macro="" textlink="">
      <xdr:nvSpPr>
        <xdr:cNvPr id="180" name="Arc 7416">
          <a:extLst>
            <a:ext uri="{FF2B5EF4-FFF2-40B4-BE49-F238E27FC236}">
              <a16:creationId xmlns:a16="http://schemas.microsoft.com/office/drawing/2014/main" id="{A5D9B436-2572-4DCC-BF81-C21B0F39D006}"/>
            </a:ext>
          </a:extLst>
        </xdr:cNvPr>
        <xdr:cNvSpPr>
          <a:spLocks/>
        </xdr:cNvSpPr>
      </xdr:nvSpPr>
      <xdr:spPr bwMode="auto">
        <a:xfrm rot="16200000">
          <a:off x="4714875" y="6393656"/>
          <a:ext cx="150415" cy="290025"/>
        </a:xfrm>
        <a:custGeom>
          <a:avLst/>
          <a:gdLst>
            <a:gd name="T0" fmla="*/ 2147483647 w 21666"/>
            <a:gd name="T1" fmla="*/ 0 h 43200"/>
            <a:gd name="T2" fmla="*/ 0 w 21666"/>
            <a:gd name="T3" fmla="*/ 2147483647 h 43200"/>
            <a:gd name="T4" fmla="*/ 2147483647 w 21666"/>
            <a:gd name="T5" fmla="*/ 2147483647 h 43200"/>
            <a:gd name="T6" fmla="*/ 0 60000 65536"/>
            <a:gd name="T7" fmla="*/ 0 60000 65536"/>
            <a:gd name="T8" fmla="*/ 0 60000 6553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0" t="0" r="r" b="b"/>
          <a:pathLst>
            <a:path w="21666" h="43200" fill="none" extrusionOk="0">
              <a:moveTo>
                <a:pt x="66" y="0"/>
              </a:moveTo>
              <a:cubicBezTo>
                <a:pt x="11995" y="0"/>
                <a:pt x="21666" y="9670"/>
                <a:pt x="21666" y="21600"/>
              </a:cubicBezTo>
              <a:cubicBezTo>
                <a:pt x="21666" y="33529"/>
                <a:pt x="11995" y="43200"/>
                <a:pt x="66" y="43200"/>
              </a:cubicBezTo>
              <a:cubicBezTo>
                <a:pt x="44" y="43200"/>
                <a:pt x="22" y="43199"/>
                <a:pt x="0" y="43199"/>
              </a:cubicBezTo>
            </a:path>
            <a:path w="21666" h="43200" stroke="0" extrusionOk="0">
              <a:moveTo>
                <a:pt x="66" y="0"/>
              </a:moveTo>
              <a:cubicBezTo>
                <a:pt x="11995" y="0"/>
                <a:pt x="21666" y="9670"/>
                <a:pt x="21666" y="21600"/>
              </a:cubicBezTo>
              <a:cubicBezTo>
                <a:pt x="21666" y="33529"/>
                <a:pt x="11995" y="43200"/>
                <a:pt x="66" y="43200"/>
              </a:cubicBezTo>
              <a:cubicBezTo>
                <a:pt x="44" y="43200"/>
                <a:pt x="22" y="43199"/>
                <a:pt x="0" y="43199"/>
              </a:cubicBezTo>
              <a:lnTo>
                <a:pt x="66" y="21600"/>
              </a:lnTo>
              <a:lnTo>
                <a:pt x="66" y="0"/>
              </a:lnTo>
              <a:close/>
            </a:path>
          </a:pathLst>
        </a:custGeom>
        <a:noFill/>
        <a:ln w="9525">
          <a:solidFill>
            <a:sysClr val="windowText" lastClr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/>
  </xdr:twoCellAnchor>
  <xdr:twoCellAnchor>
    <xdr:from>
      <xdr:col>13</xdr:col>
      <xdr:colOff>342504</xdr:colOff>
      <xdr:row>29</xdr:row>
      <xdr:rowOff>77391</xdr:rowOff>
    </xdr:from>
    <xdr:to>
      <xdr:col>14</xdr:col>
      <xdr:colOff>158661</xdr:colOff>
      <xdr:row>30</xdr:row>
      <xdr:rowOff>1587</xdr:rowOff>
    </xdr:to>
    <xdr:sp macro="" textlink="">
      <xdr:nvSpPr>
        <xdr:cNvPr id="181" name="Arc 7416">
          <a:extLst>
            <a:ext uri="{FF2B5EF4-FFF2-40B4-BE49-F238E27FC236}">
              <a16:creationId xmlns:a16="http://schemas.microsoft.com/office/drawing/2014/main" id="{DE07FAE7-D87C-480C-81D6-69A6ED5E76EE}"/>
            </a:ext>
          </a:extLst>
        </xdr:cNvPr>
        <xdr:cNvSpPr>
          <a:spLocks/>
        </xdr:cNvSpPr>
      </xdr:nvSpPr>
      <xdr:spPr bwMode="auto">
        <a:xfrm rot="16200000">
          <a:off x="4723562" y="7078708"/>
          <a:ext cx="150415" cy="280500"/>
        </a:xfrm>
        <a:custGeom>
          <a:avLst/>
          <a:gdLst>
            <a:gd name="T0" fmla="*/ 2147483647 w 21666"/>
            <a:gd name="T1" fmla="*/ 0 h 43200"/>
            <a:gd name="T2" fmla="*/ 0 w 21666"/>
            <a:gd name="T3" fmla="*/ 2147483647 h 43200"/>
            <a:gd name="T4" fmla="*/ 2147483647 w 21666"/>
            <a:gd name="T5" fmla="*/ 2147483647 h 43200"/>
            <a:gd name="T6" fmla="*/ 0 60000 65536"/>
            <a:gd name="T7" fmla="*/ 0 60000 65536"/>
            <a:gd name="T8" fmla="*/ 0 60000 6553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0" t="0" r="r" b="b"/>
          <a:pathLst>
            <a:path w="21666" h="43200" fill="none" extrusionOk="0">
              <a:moveTo>
                <a:pt x="66" y="0"/>
              </a:moveTo>
              <a:cubicBezTo>
                <a:pt x="11995" y="0"/>
                <a:pt x="21666" y="9670"/>
                <a:pt x="21666" y="21600"/>
              </a:cubicBezTo>
              <a:cubicBezTo>
                <a:pt x="21666" y="33529"/>
                <a:pt x="11995" y="43200"/>
                <a:pt x="66" y="43200"/>
              </a:cubicBezTo>
              <a:cubicBezTo>
                <a:pt x="44" y="43200"/>
                <a:pt x="22" y="43199"/>
                <a:pt x="0" y="43199"/>
              </a:cubicBezTo>
            </a:path>
            <a:path w="21666" h="43200" stroke="0" extrusionOk="0">
              <a:moveTo>
                <a:pt x="66" y="0"/>
              </a:moveTo>
              <a:cubicBezTo>
                <a:pt x="11995" y="0"/>
                <a:pt x="21666" y="9670"/>
                <a:pt x="21666" y="21600"/>
              </a:cubicBezTo>
              <a:cubicBezTo>
                <a:pt x="21666" y="33529"/>
                <a:pt x="11995" y="43200"/>
                <a:pt x="66" y="43200"/>
              </a:cubicBezTo>
              <a:cubicBezTo>
                <a:pt x="44" y="43200"/>
                <a:pt x="22" y="43199"/>
                <a:pt x="0" y="43199"/>
              </a:cubicBezTo>
              <a:lnTo>
                <a:pt x="66" y="21600"/>
              </a:lnTo>
              <a:lnTo>
                <a:pt x="66" y="0"/>
              </a:lnTo>
              <a:close/>
            </a:path>
          </a:pathLst>
        </a:custGeom>
        <a:noFill/>
        <a:ln w="9525">
          <a:solidFill>
            <a:sysClr val="windowText" lastClr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/>
  </xdr:twoCellAnchor>
  <xdr:twoCellAnchor>
    <xdr:from>
      <xdr:col>13</xdr:col>
      <xdr:colOff>328239</xdr:colOff>
      <xdr:row>32</xdr:row>
      <xdr:rowOff>75451</xdr:rowOff>
    </xdr:from>
    <xdr:to>
      <xdr:col>14</xdr:col>
      <xdr:colOff>147571</xdr:colOff>
      <xdr:row>32</xdr:row>
      <xdr:rowOff>225866</xdr:rowOff>
    </xdr:to>
    <xdr:sp macro="" textlink="">
      <xdr:nvSpPr>
        <xdr:cNvPr id="182" name="Arc 7416">
          <a:extLst>
            <a:ext uri="{FF2B5EF4-FFF2-40B4-BE49-F238E27FC236}">
              <a16:creationId xmlns:a16="http://schemas.microsoft.com/office/drawing/2014/main" id="{9DDCF433-0187-4DFD-A061-472AD6B22EC5}"/>
            </a:ext>
          </a:extLst>
        </xdr:cNvPr>
        <xdr:cNvSpPr>
          <a:spLocks/>
        </xdr:cNvSpPr>
      </xdr:nvSpPr>
      <xdr:spPr bwMode="auto">
        <a:xfrm rot="16200000">
          <a:off x="4720320" y="7832238"/>
          <a:ext cx="150415" cy="286596"/>
        </a:xfrm>
        <a:custGeom>
          <a:avLst/>
          <a:gdLst>
            <a:gd name="T0" fmla="*/ 2147483647 w 21666"/>
            <a:gd name="T1" fmla="*/ 0 h 43200"/>
            <a:gd name="T2" fmla="*/ 0 w 21666"/>
            <a:gd name="T3" fmla="*/ 2147483647 h 43200"/>
            <a:gd name="T4" fmla="*/ 2147483647 w 21666"/>
            <a:gd name="T5" fmla="*/ 2147483647 h 43200"/>
            <a:gd name="T6" fmla="*/ 0 60000 65536"/>
            <a:gd name="T7" fmla="*/ 0 60000 65536"/>
            <a:gd name="T8" fmla="*/ 0 60000 6553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0" t="0" r="r" b="b"/>
          <a:pathLst>
            <a:path w="21666" h="43200" fill="none" extrusionOk="0">
              <a:moveTo>
                <a:pt x="66" y="0"/>
              </a:moveTo>
              <a:cubicBezTo>
                <a:pt x="11995" y="0"/>
                <a:pt x="21666" y="9670"/>
                <a:pt x="21666" y="21600"/>
              </a:cubicBezTo>
              <a:cubicBezTo>
                <a:pt x="21666" y="33529"/>
                <a:pt x="11995" y="43200"/>
                <a:pt x="66" y="43200"/>
              </a:cubicBezTo>
              <a:cubicBezTo>
                <a:pt x="44" y="43200"/>
                <a:pt x="22" y="43199"/>
                <a:pt x="0" y="43199"/>
              </a:cubicBezTo>
            </a:path>
            <a:path w="21666" h="43200" stroke="0" extrusionOk="0">
              <a:moveTo>
                <a:pt x="66" y="0"/>
              </a:moveTo>
              <a:cubicBezTo>
                <a:pt x="11995" y="0"/>
                <a:pt x="21666" y="9670"/>
                <a:pt x="21666" y="21600"/>
              </a:cubicBezTo>
              <a:cubicBezTo>
                <a:pt x="21666" y="33529"/>
                <a:pt x="11995" y="43200"/>
                <a:pt x="66" y="43200"/>
              </a:cubicBezTo>
              <a:cubicBezTo>
                <a:pt x="44" y="43200"/>
                <a:pt x="22" y="43199"/>
                <a:pt x="0" y="43199"/>
              </a:cubicBezTo>
              <a:lnTo>
                <a:pt x="66" y="21600"/>
              </a:lnTo>
              <a:lnTo>
                <a:pt x="66" y="0"/>
              </a:lnTo>
              <a:close/>
            </a:path>
          </a:pathLst>
        </a:custGeom>
        <a:noFill/>
        <a:ln w="9525">
          <a:solidFill>
            <a:sysClr val="windowText" lastClr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/>
  </xdr:twoCellAnchor>
  <xdr:twoCellAnchor>
    <xdr:from>
      <xdr:col>5</xdr:col>
      <xdr:colOff>1137</xdr:colOff>
      <xdr:row>32</xdr:row>
      <xdr:rowOff>230037</xdr:rowOff>
    </xdr:from>
    <xdr:to>
      <xdr:col>13</xdr:col>
      <xdr:colOff>327084</xdr:colOff>
      <xdr:row>33</xdr:row>
      <xdr:rowOff>10994</xdr:rowOff>
    </xdr:to>
    <xdr:sp macro="" textlink="">
      <xdr:nvSpPr>
        <xdr:cNvPr id="183" name="Line 80">
          <a:extLst>
            <a:ext uri="{FF2B5EF4-FFF2-40B4-BE49-F238E27FC236}">
              <a16:creationId xmlns:a16="http://schemas.microsoft.com/office/drawing/2014/main" id="{8DC18E63-A7C8-4E38-86CA-FCC2878F15A2}"/>
            </a:ext>
          </a:extLst>
        </xdr:cNvPr>
        <xdr:cNvSpPr>
          <a:spLocks noChangeShapeType="1"/>
        </xdr:cNvSpPr>
      </xdr:nvSpPr>
      <xdr:spPr bwMode="auto">
        <a:xfrm flipV="1">
          <a:off x="1568269" y="8054914"/>
          <a:ext cx="3082806" cy="10995"/>
        </a:xfrm>
        <a:prstGeom prst="line">
          <a:avLst/>
        </a:prstGeom>
        <a:noFill/>
        <a:ln w="9525">
          <a:solidFill>
            <a:sysClr val="windowText" lastClr="000000"/>
          </a:solidFill>
          <a:round/>
          <a:headEnd/>
          <a:tailEnd type="non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298331</xdr:colOff>
      <xdr:row>29</xdr:row>
      <xdr:rowOff>226442</xdr:rowOff>
    </xdr:from>
    <xdr:to>
      <xdr:col>13</xdr:col>
      <xdr:colOff>341463</xdr:colOff>
      <xdr:row>30</xdr:row>
      <xdr:rowOff>3593</xdr:rowOff>
    </xdr:to>
    <xdr:sp macro="" textlink="">
      <xdr:nvSpPr>
        <xdr:cNvPr id="184" name="Line 80">
          <a:extLst>
            <a:ext uri="{FF2B5EF4-FFF2-40B4-BE49-F238E27FC236}">
              <a16:creationId xmlns:a16="http://schemas.microsoft.com/office/drawing/2014/main" id="{D31E9910-43B2-4345-B762-B124409FB7A1}"/>
            </a:ext>
          </a:extLst>
        </xdr:cNvPr>
        <xdr:cNvSpPr>
          <a:spLocks noChangeShapeType="1"/>
        </xdr:cNvSpPr>
      </xdr:nvSpPr>
      <xdr:spPr bwMode="auto">
        <a:xfrm flipV="1">
          <a:off x="1559944" y="7361206"/>
          <a:ext cx="3105510" cy="7189"/>
        </a:xfrm>
        <a:prstGeom prst="line">
          <a:avLst/>
        </a:prstGeom>
        <a:noFill/>
        <a:ln w="9525">
          <a:solidFill>
            <a:sysClr val="windowText" lastClr="000000"/>
          </a:solidFill>
          <a:round/>
          <a:headEnd/>
          <a:tailEnd type="non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7189</xdr:colOff>
      <xdr:row>26</xdr:row>
      <xdr:rowOff>226443</xdr:rowOff>
    </xdr:from>
    <xdr:to>
      <xdr:col>13</xdr:col>
      <xdr:colOff>334273</xdr:colOff>
      <xdr:row>27</xdr:row>
      <xdr:rowOff>0</xdr:rowOff>
    </xdr:to>
    <xdr:sp macro="" textlink="">
      <xdr:nvSpPr>
        <xdr:cNvPr id="185" name="Line 80">
          <a:extLst>
            <a:ext uri="{FF2B5EF4-FFF2-40B4-BE49-F238E27FC236}">
              <a16:creationId xmlns:a16="http://schemas.microsoft.com/office/drawing/2014/main" id="{909544D3-E171-489F-8400-0F919491EBB7}"/>
            </a:ext>
          </a:extLst>
        </xdr:cNvPr>
        <xdr:cNvSpPr>
          <a:spLocks noChangeShapeType="1"/>
        </xdr:cNvSpPr>
      </xdr:nvSpPr>
      <xdr:spPr bwMode="auto">
        <a:xfrm>
          <a:off x="1574321" y="6671094"/>
          <a:ext cx="3083943" cy="3595"/>
        </a:xfrm>
        <a:prstGeom prst="line">
          <a:avLst/>
        </a:prstGeom>
        <a:noFill/>
        <a:ln w="9525">
          <a:solidFill>
            <a:sysClr val="windowText" lastClr="000000"/>
          </a:solidFill>
          <a:round/>
          <a:headEnd/>
          <a:tailEnd type="non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302419</xdr:colOff>
      <xdr:row>27</xdr:row>
      <xdr:rowOff>223837</xdr:rowOff>
    </xdr:from>
    <xdr:to>
      <xdr:col>29</xdr:col>
      <xdr:colOff>0</xdr:colOff>
      <xdr:row>29</xdr:row>
      <xdr:rowOff>3175</xdr:rowOff>
    </xdr:to>
    <xdr:sp macro="" textlink="">
      <xdr:nvSpPr>
        <xdr:cNvPr id="186" name="Line 12">
          <a:extLst>
            <a:ext uri="{FF2B5EF4-FFF2-40B4-BE49-F238E27FC236}">
              <a16:creationId xmlns:a16="http://schemas.microsoft.com/office/drawing/2014/main" id="{C2601913-B8DC-45CD-AB53-F2BC0290ED38}"/>
            </a:ext>
          </a:extLst>
        </xdr:cNvPr>
        <xdr:cNvSpPr>
          <a:spLocks noChangeShapeType="1"/>
        </xdr:cNvSpPr>
      </xdr:nvSpPr>
      <xdr:spPr bwMode="auto">
        <a:xfrm flipV="1">
          <a:off x="12932569" y="6872287"/>
          <a:ext cx="2381" cy="236538"/>
        </a:xfrm>
        <a:prstGeom prst="line">
          <a:avLst/>
        </a:prstGeom>
        <a:noFill/>
        <a:ln w="9525">
          <a:solidFill>
            <a:sysClr val="windowText" lastClr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F155"/>
  <sheetViews>
    <sheetView tabSelected="1" zoomScale="55" zoomScaleNormal="55" workbookViewId="0">
      <selection activeCell="AY26" sqref="AY26"/>
    </sheetView>
  </sheetViews>
  <sheetFormatPr defaultColWidth="9.796875" defaultRowHeight="16" x14ac:dyDescent="0.3"/>
  <cols>
    <col min="1" max="1" width="11.69921875" style="2" bestFit="1" customWidth="1"/>
    <col min="2" max="4" width="2.69921875" style="2" customWidth="1"/>
    <col min="5" max="5" width="4.796875" style="2" customWidth="1"/>
    <col min="6" max="6" width="7" style="2" customWidth="1"/>
    <col min="7" max="7" width="6" style="2" customWidth="1"/>
    <col min="8" max="8" width="1.796875" style="2" customWidth="1"/>
    <col min="9" max="9" width="7.69921875" style="2" customWidth="1"/>
    <col min="10" max="10" width="4.296875" style="2" customWidth="1"/>
    <col min="11" max="11" width="4.796875" style="2" customWidth="1"/>
    <col min="12" max="12" width="6.8984375" style="2" customWidth="1"/>
    <col min="13" max="13" width="4.796875" style="2" customWidth="1"/>
    <col min="14" max="14" width="7.296875" style="2" customWidth="1"/>
    <col min="15" max="15" width="14" style="2" customWidth="1"/>
    <col min="16" max="16" width="4.5" style="2" customWidth="1"/>
    <col min="17" max="17" width="4.09765625" style="2" customWidth="1"/>
    <col min="18" max="18" width="12.796875" style="2" customWidth="1"/>
    <col min="19" max="19" width="4.796875" style="2" customWidth="1"/>
    <col min="20" max="20" width="5.8984375" style="2" customWidth="1"/>
    <col min="21" max="21" width="4.796875" style="2" customWidth="1"/>
    <col min="22" max="22" width="14.796875" style="2" customWidth="1"/>
    <col min="23" max="23" width="9.59765625" style="2" customWidth="1"/>
    <col min="24" max="24" width="12.796875" style="2" customWidth="1"/>
    <col min="25" max="25" width="13.8984375" style="2" bestFit="1" customWidth="1"/>
    <col min="26" max="26" width="3.59765625" style="2" customWidth="1"/>
    <col min="27" max="27" width="8.796875" style="2" customWidth="1"/>
    <col min="28" max="28" width="9.296875" style="2" customWidth="1"/>
    <col min="29" max="32" width="4.796875" style="2" customWidth="1"/>
    <col min="33" max="33" width="6.296875" style="2" customWidth="1"/>
    <col min="34" max="35" width="4.796875" style="2" customWidth="1"/>
    <col min="36" max="36" width="9.19921875" style="2" customWidth="1"/>
    <col min="37" max="37" width="4.796875" style="2" customWidth="1"/>
    <col min="38" max="38" width="7.09765625" style="2" customWidth="1"/>
    <col min="39" max="41" width="4.796875" style="2" customWidth="1"/>
    <col min="42" max="42" width="7.3984375" style="2" customWidth="1"/>
    <col min="43" max="43" width="4.796875" style="2" customWidth="1"/>
    <col min="44" max="44" width="4.69921875" style="2" customWidth="1"/>
    <col min="45" max="45" width="10.8984375" style="2" customWidth="1"/>
    <col min="46" max="46" width="4.796875" style="2" customWidth="1"/>
    <col min="47" max="47" width="11" style="2" customWidth="1"/>
    <col min="48" max="50" width="4.796875" style="2" customWidth="1"/>
    <col min="51" max="51" width="12.19921875" style="2" customWidth="1"/>
    <col min="52" max="52" width="4.796875" style="2" customWidth="1"/>
    <col min="53" max="53" width="6.69921875" style="2" customWidth="1"/>
    <col min="54" max="56" width="6.09765625" style="2" customWidth="1"/>
    <col min="57" max="57" width="6.09765625" style="4" customWidth="1"/>
    <col min="58" max="60" width="6.09765625" style="2" customWidth="1"/>
    <col min="61" max="61" width="6.09765625" style="5" customWidth="1"/>
    <col min="62" max="99" width="6.09765625" style="2" customWidth="1"/>
    <col min="100" max="100" width="6.09765625" style="6" customWidth="1"/>
    <col min="101" max="101" width="71.5" style="7" customWidth="1"/>
    <col min="102" max="102" width="15.796875" style="7" customWidth="1"/>
    <col min="103" max="103" width="18.3984375" style="7" customWidth="1"/>
    <col min="104" max="104" width="9.796875" style="2"/>
    <col min="105" max="105" width="11.09765625" style="2" bestFit="1" customWidth="1"/>
    <col min="106" max="16384" width="9.796875" style="2"/>
  </cols>
  <sheetData>
    <row r="1" spans="1:136" ht="17" customHeight="1" x14ac:dyDescent="0.3">
      <c r="A1" s="1"/>
      <c r="V1" s="3"/>
    </row>
    <row r="2" spans="1:136" ht="17" customHeight="1" x14ac:dyDescent="0.3">
      <c r="A2" s="195" t="s">
        <v>0</v>
      </c>
      <c r="B2" s="195"/>
      <c r="V2" s="197" t="s">
        <v>1</v>
      </c>
    </row>
    <row r="3" spans="1:136" ht="28.5" customHeight="1" x14ac:dyDescent="0.3">
      <c r="A3" s="196"/>
      <c r="B3" s="196"/>
      <c r="F3" s="199" t="s">
        <v>2</v>
      </c>
      <c r="G3" s="199"/>
      <c r="R3" s="8" t="s">
        <v>3</v>
      </c>
      <c r="S3" s="9"/>
      <c r="T3" s="9"/>
      <c r="U3" s="9"/>
      <c r="V3" s="198"/>
      <c r="W3" s="9"/>
      <c r="X3" s="194" t="s">
        <v>4</v>
      </c>
      <c r="Y3" s="9"/>
      <c r="Z3" s="199" t="s">
        <v>5</v>
      </c>
      <c r="AA3" s="199"/>
      <c r="BB3" s="6"/>
      <c r="BE3" s="2"/>
      <c r="BF3" s="6"/>
      <c r="BI3" s="6"/>
      <c r="BJ3" s="6"/>
      <c r="BK3" s="6"/>
      <c r="BL3" s="10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  <c r="CG3" s="6"/>
      <c r="CH3" s="6"/>
      <c r="CI3" s="6"/>
      <c r="CJ3" s="6"/>
      <c r="CK3" s="6"/>
      <c r="CL3" s="6"/>
      <c r="CM3" s="6"/>
      <c r="CN3" s="6"/>
      <c r="CO3" s="6"/>
      <c r="CP3" s="6"/>
      <c r="CQ3" s="6"/>
    </row>
    <row r="4" spans="1:136" ht="22.75" customHeight="1" x14ac:dyDescent="0.3">
      <c r="A4" s="200">
        <f>BF22</f>
        <v>0</v>
      </c>
      <c r="B4" s="201"/>
      <c r="F4" s="202">
        <f>BF19</f>
        <v>0</v>
      </c>
      <c r="G4" s="203"/>
      <c r="K4" s="204">
        <f>I9+W41-AO6</f>
        <v>0</v>
      </c>
      <c r="L4" s="205"/>
      <c r="M4" s="11" t="s">
        <v>6</v>
      </c>
      <c r="R4" s="12">
        <f>BF21</f>
        <v>0</v>
      </c>
      <c r="V4" s="13">
        <f>BF74</f>
        <v>0</v>
      </c>
      <c r="X4" s="13">
        <f>BF73</f>
        <v>0</v>
      </c>
      <c r="Z4" s="206">
        <f>BF20</f>
        <v>0</v>
      </c>
      <c r="AA4" s="207"/>
      <c r="AR4" s="208">
        <f>BF27</f>
        <v>0</v>
      </c>
      <c r="AS4" s="209"/>
      <c r="AT4" s="14" t="s">
        <v>7</v>
      </c>
      <c r="AW4" s="6"/>
      <c r="AX4" s="6"/>
      <c r="AY4" s="14" t="s">
        <v>8</v>
      </c>
      <c r="AZ4" s="6"/>
      <c r="BA4" s="6"/>
      <c r="BB4" s="6"/>
      <c r="BE4" s="2"/>
      <c r="BF4" s="6"/>
      <c r="BI4" s="6"/>
      <c r="BJ4" s="6"/>
      <c r="BK4" s="6"/>
      <c r="BL4" s="10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</row>
    <row r="5" spans="1:136" ht="35.5" customHeight="1" thickBot="1" x14ac:dyDescent="0.35">
      <c r="B5" s="15"/>
      <c r="C5" s="16"/>
      <c r="D5" s="16"/>
      <c r="E5" s="16"/>
      <c r="H5" s="17"/>
      <c r="I5" s="17"/>
      <c r="L5" s="17"/>
      <c r="M5" s="17"/>
      <c r="N5" s="17"/>
      <c r="R5" s="18"/>
      <c r="S5" s="17"/>
      <c r="T5" s="17"/>
      <c r="U5" s="17"/>
      <c r="V5" s="17"/>
      <c r="W5" s="17"/>
      <c r="X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9" t="s">
        <v>9</v>
      </c>
      <c r="AP5" s="17"/>
      <c r="AQ5" s="16"/>
      <c r="AT5" s="17"/>
      <c r="AU5" s="17"/>
      <c r="AV5" s="16"/>
      <c r="AW5" s="16"/>
      <c r="AX5" s="16"/>
      <c r="AY5" s="20">
        <f>BF71</f>
        <v>0</v>
      </c>
      <c r="AZ5" s="6"/>
      <c r="BA5" s="16"/>
      <c r="BC5" s="21"/>
      <c r="BD5" s="21"/>
      <c r="BE5" s="21"/>
      <c r="BG5" s="21"/>
      <c r="BH5" s="22"/>
      <c r="BI5" s="23"/>
      <c r="BJ5" s="210"/>
      <c r="BK5" s="210"/>
      <c r="BL5" s="210"/>
      <c r="CR5" s="24"/>
      <c r="CS5" s="21"/>
      <c r="CT5" s="22"/>
    </row>
    <row r="6" spans="1:136" ht="18.75" customHeight="1" x14ac:dyDescent="0.3">
      <c r="A6" s="15"/>
      <c r="B6" s="15"/>
      <c r="C6" s="16"/>
      <c r="D6" s="16"/>
      <c r="E6" s="16"/>
      <c r="F6" s="25"/>
      <c r="G6" s="25"/>
      <c r="H6" s="26"/>
      <c r="I6" s="211" t="s">
        <v>10</v>
      </c>
      <c r="J6" s="212"/>
      <c r="K6" s="212"/>
      <c r="L6" s="213"/>
      <c r="M6" s="16"/>
      <c r="N6" s="16"/>
      <c r="Q6" s="16"/>
      <c r="R6" s="26"/>
      <c r="S6" s="17"/>
      <c r="T6" s="16"/>
      <c r="U6" s="16"/>
      <c r="V6" s="17"/>
      <c r="W6" s="17"/>
      <c r="X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7"/>
      <c r="AM6" s="17"/>
      <c r="AN6" s="17"/>
      <c r="AO6" s="208">
        <f>BF31</f>
        <v>0</v>
      </c>
      <c r="AP6" s="209"/>
      <c r="AQ6" s="16"/>
      <c r="AT6" s="17"/>
      <c r="AU6" s="16"/>
      <c r="AV6" s="16"/>
      <c r="AW6" s="16"/>
      <c r="AX6" s="16"/>
      <c r="AY6" s="16"/>
      <c r="AZ6" s="16"/>
      <c r="BA6" s="16"/>
      <c r="BB6" s="24"/>
      <c r="BC6" s="27"/>
      <c r="BD6" s="27"/>
      <c r="BE6" s="28"/>
      <c r="BF6" s="24"/>
      <c r="BG6" s="29"/>
      <c r="BH6" s="30"/>
      <c r="BI6" s="31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  <c r="CK6" s="24"/>
      <c r="CL6" s="24"/>
      <c r="CM6" s="24"/>
      <c r="CN6" s="24"/>
      <c r="CO6" s="24"/>
      <c r="CP6" s="24"/>
      <c r="CQ6" s="24"/>
      <c r="CS6" s="29"/>
      <c r="CT6" s="30"/>
      <c r="CV6" s="32"/>
    </row>
    <row r="7" spans="1:136" ht="18" customHeight="1" thickBot="1" x14ac:dyDescent="0.35">
      <c r="C7" s="16"/>
      <c r="D7" s="16"/>
      <c r="E7" s="16"/>
      <c r="H7" s="26"/>
      <c r="I7" s="214"/>
      <c r="J7" s="215"/>
      <c r="K7" s="215"/>
      <c r="L7" s="216"/>
      <c r="M7" s="16"/>
      <c r="N7" s="17"/>
      <c r="O7" s="16"/>
      <c r="P7" s="17"/>
      <c r="Q7" s="17"/>
      <c r="R7" s="17"/>
      <c r="S7" s="17"/>
      <c r="T7" s="16"/>
      <c r="U7" s="16"/>
      <c r="V7" s="33" t="s">
        <v>11</v>
      </c>
      <c r="W7" s="17"/>
      <c r="X7" s="33" t="s">
        <v>12</v>
      </c>
      <c r="Y7" s="34"/>
      <c r="Z7" s="34"/>
      <c r="AA7" s="16"/>
      <c r="AB7" s="17"/>
      <c r="AC7" s="17"/>
      <c r="AD7" s="17"/>
      <c r="AE7" s="17"/>
      <c r="AF7" s="17"/>
      <c r="AG7" s="17"/>
      <c r="AH7" s="16"/>
      <c r="AI7" s="17"/>
      <c r="AJ7" s="17"/>
      <c r="AK7" s="17"/>
      <c r="AL7" s="17"/>
      <c r="AM7" s="17"/>
      <c r="AN7" s="17"/>
      <c r="AO7" s="17"/>
      <c r="AP7" s="17"/>
      <c r="AQ7" s="17"/>
      <c r="AR7" s="16"/>
      <c r="AS7" s="35"/>
      <c r="AT7" s="17"/>
      <c r="AU7" s="36"/>
      <c r="AV7" s="36"/>
      <c r="AW7" s="16"/>
      <c r="AX7" s="16"/>
      <c r="AY7" s="16"/>
      <c r="AZ7" s="16"/>
      <c r="BA7" s="16"/>
      <c r="BB7" s="24"/>
      <c r="BC7" s="27"/>
      <c r="BD7" s="27"/>
      <c r="BE7" s="28"/>
      <c r="BF7" s="24"/>
      <c r="BG7" s="29"/>
      <c r="BH7" s="30"/>
      <c r="BI7" s="31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32"/>
      <c r="CK7" s="24"/>
      <c r="CL7" s="24"/>
      <c r="CM7" s="24"/>
      <c r="CN7" s="32"/>
      <c r="CQ7" s="32"/>
      <c r="CS7" s="29"/>
      <c r="CT7" s="30"/>
      <c r="CV7" s="32"/>
    </row>
    <row r="8" spans="1:136" ht="15" customHeight="1" x14ac:dyDescent="0.3">
      <c r="C8" s="16"/>
      <c r="D8" s="16"/>
      <c r="E8" s="16"/>
      <c r="H8" s="17"/>
      <c r="I8" s="16"/>
      <c r="J8" s="16"/>
      <c r="K8" s="17"/>
      <c r="L8" s="17"/>
      <c r="M8" s="37"/>
      <c r="N8" s="37"/>
      <c r="V8" s="38">
        <f>IF(V4&gt;X4,V4-X4,0)</f>
        <v>0</v>
      </c>
      <c r="X8" s="38">
        <f>IF(X4&gt;V4,X4-V4,0)</f>
        <v>0</v>
      </c>
      <c r="Y8" s="17"/>
      <c r="Z8" s="17"/>
      <c r="AA8" s="16"/>
      <c r="AB8" s="17"/>
      <c r="AC8" s="17"/>
      <c r="AD8" s="17"/>
      <c r="AE8" s="39" t="s">
        <v>13</v>
      </c>
      <c r="AF8" s="217">
        <f>BF53</f>
        <v>0</v>
      </c>
      <c r="AG8" s="217"/>
      <c r="AH8" s="40"/>
      <c r="AI8" s="41"/>
      <c r="AJ8" s="17"/>
      <c r="AK8" s="17"/>
      <c r="AL8" s="17"/>
      <c r="AM8" s="17"/>
      <c r="AN8" s="17"/>
      <c r="AO8" s="17"/>
      <c r="AP8" s="17"/>
      <c r="AQ8" s="17"/>
      <c r="AR8" s="16"/>
      <c r="AS8" s="16"/>
      <c r="AT8" s="17"/>
      <c r="AU8" s="17"/>
      <c r="AV8" s="16"/>
      <c r="AW8" s="16"/>
      <c r="AX8" s="16"/>
      <c r="AY8" s="16"/>
      <c r="AZ8" s="16"/>
      <c r="BA8" s="16"/>
      <c r="BB8" s="24"/>
      <c r="BC8" s="42"/>
      <c r="BD8" s="42"/>
      <c r="BE8" s="43"/>
      <c r="BF8" s="24"/>
      <c r="BG8" s="44"/>
      <c r="BH8" s="30"/>
      <c r="BI8" s="31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  <c r="CK8" s="24"/>
      <c r="CL8" s="24"/>
      <c r="CM8" s="24"/>
      <c r="CN8" s="24"/>
      <c r="CO8" s="24"/>
      <c r="CP8" s="24"/>
      <c r="CQ8" s="24"/>
      <c r="CS8" s="44"/>
      <c r="CT8" s="30"/>
      <c r="CV8" s="32"/>
      <c r="CZ8" s="24"/>
      <c r="DB8" s="24"/>
      <c r="DC8" s="24"/>
      <c r="DD8" s="24"/>
      <c r="DE8" s="24"/>
      <c r="DF8" s="24"/>
      <c r="DG8" s="24"/>
      <c r="DH8" s="24"/>
      <c r="DI8" s="24"/>
      <c r="DJ8" s="24"/>
      <c r="DK8" s="24"/>
      <c r="DL8" s="24"/>
      <c r="DM8" s="24"/>
      <c r="DN8" s="24"/>
      <c r="DO8" s="24"/>
      <c r="DP8" s="24"/>
      <c r="DQ8" s="24"/>
      <c r="DR8" s="24"/>
      <c r="DS8" s="24"/>
      <c r="DT8" s="24"/>
      <c r="DU8" s="24"/>
      <c r="DV8" s="24"/>
      <c r="DW8" s="24"/>
      <c r="DX8" s="24"/>
      <c r="DY8" s="24"/>
      <c r="DZ8" s="24"/>
      <c r="EA8" s="24"/>
      <c r="EB8" s="24"/>
      <c r="EC8" s="24"/>
      <c r="ED8" s="24"/>
      <c r="EE8" s="24"/>
      <c r="EF8" s="24"/>
    </row>
    <row r="9" spans="1:136" ht="18" customHeight="1" x14ac:dyDescent="0.3">
      <c r="A9" s="16"/>
      <c r="B9" s="16"/>
      <c r="C9" s="16"/>
      <c r="D9" s="16"/>
      <c r="E9" s="16"/>
      <c r="F9" s="45"/>
      <c r="G9" s="45"/>
      <c r="H9" s="17"/>
      <c r="I9" s="208">
        <f>BF15</f>
        <v>0</v>
      </c>
      <c r="J9" s="209"/>
      <c r="K9" s="17"/>
      <c r="L9" s="26"/>
      <c r="M9" s="17"/>
      <c r="N9" s="46"/>
      <c r="S9" s="17"/>
      <c r="U9" s="47"/>
      <c r="V9" s="17"/>
      <c r="W9" s="17"/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7"/>
      <c r="AJ9" s="17"/>
      <c r="AK9" s="17"/>
      <c r="AL9" s="36"/>
      <c r="AM9" s="48"/>
      <c r="AN9" s="48"/>
      <c r="AO9" s="48"/>
      <c r="AP9" s="48"/>
      <c r="AQ9" s="17"/>
      <c r="AR9" s="16"/>
      <c r="AS9" s="16"/>
      <c r="AT9" s="218" t="s">
        <v>14</v>
      </c>
      <c r="AU9" s="218"/>
      <c r="AV9" s="218"/>
      <c r="AW9" s="16"/>
      <c r="AX9" s="16"/>
      <c r="AY9" s="16"/>
      <c r="AZ9" s="16"/>
      <c r="BA9" s="16"/>
      <c r="BB9" s="24"/>
      <c r="BC9" s="27"/>
      <c r="BD9" s="27"/>
      <c r="BE9" s="28"/>
      <c r="BF9" s="24"/>
      <c r="BG9" s="29"/>
      <c r="BH9" s="30"/>
      <c r="BI9" s="31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32"/>
      <c r="CK9" s="24"/>
      <c r="CL9" s="24"/>
      <c r="CM9" s="24"/>
      <c r="CN9" s="32"/>
      <c r="CQ9" s="32"/>
      <c r="CS9" s="29"/>
      <c r="CT9" s="30"/>
      <c r="CV9" s="32"/>
      <c r="CZ9" s="49"/>
      <c r="DA9" s="49"/>
      <c r="DB9" s="49"/>
      <c r="DC9" s="49"/>
      <c r="DD9" s="49"/>
      <c r="DE9" s="49"/>
      <c r="DF9" s="49"/>
      <c r="DG9" s="49"/>
      <c r="DH9" s="49"/>
      <c r="DI9" s="49"/>
      <c r="DJ9" s="49"/>
      <c r="DK9" s="49"/>
      <c r="DL9" s="49"/>
      <c r="DM9" s="49"/>
      <c r="DN9" s="49"/>
      <c r="DO9" s="49"/>
      <c r="DP9" s="49"/>
      <c r="DQ9" s="49"/>
      <c r="DR9" s="49"/>
      <c r="DS9" s="49"/>
      <c r="DT9" s="49"/>
      <c r="DU9" s="49"/>
      <c r="DV9" s="49"/>
      <c r="DW9" s="49"/>
      <c r="DX9" s="49"/>
      <c r="DY9" s="49"/>
      <c r="DZ9" s="49"/>
      <c r="EA9" s="49"/>
      <c r="EB9" s="49"/>
      <c r="EC9" s="49"/>
      <c r="ED9" s="49"/>
    </row>
    <row r="10" spans="1:136" ht="18" customHeight="1" thickBot="1" x14ac:dyDescent="0.4">
      <c r="A10" s="16"/>
      <c r="B10" s="16"/>
      <c r="C10" s="16"/>
      <c r="D10" s="16"/>
      <c r="E10" s="16"/>
      <c r="F10" s="16"/>
      <c r="G10" s="16"/>
      <c r="H10" s="17"/>
      <c r="I10" s="219" t="s">
        <v>15</v>
      </c>
      <c r="J10" s="219"/>
      <c r="K10" s="17"/>
      <c r="L10" s="26"/>
      <c r="M10" s="17"/>
      <c r="N10" s="17"/>
      <c r="O10" s="17"/>
      <c r="P10" s="26"/>
      <c r="Q10" s="26"/>
      <c r="R10" s="17"/>
      <c r="S10" s="17"/>
      <c r="T10" s="17"/>
      <c r="U10" s="50" t="s">
        <v>16</v>
      </c>
      <c r="V10" s="220">
        <f>AA22</f>
        <v>0</v>
      </c>
      <c r="W10" s="221"/>
      <c r="X10" s="222"/>
      <c r="Y10" s="17"/>
      <c r="Z10" s="17"/>
      <c r="AA10" s="223" t="s">
        <v>18</v>
      </c>
      <c r="AB10" s="223"/>
      <c r="AC10" s="17"/>
      <c r="AD10" s="17"/>
      <c r="AE10" s="17"/>
      <c r="AF10" s="17"/>
      <c r="AG10" s="17"/>
      <c r="AH10" s="17"/>
      <c r="AI10" s="17"/>
      <c r="AJ10" s="16"/>
      <c r="AK10" s="16"/>
      <c r="AL10" s="36"/>
      <c r="AM10" s="36"/>
      <c r="AN10" s="17"/>
      <c r="AO10" s="51"/>
      <c r="AP10" s="17"/>
      <c r="AQ10" s="17"/>
      <c r="AR10" s="17"/>
      <c r="AS10" s="17"/>
      <c r="AT10" s="218"/>
      <c r="AU10" s="218"/>
      <c r="AV10" s="218"/>
      <c r="AW10" s="16"/>
      <c r="AX10" s="16"/>
      <c r="AY10" s="14" t="s">
        <v>19</v>
      </c>
      <c r="AZ10" s="16"/>
      <c r="BA10" s="16"/>
      <c r="BB10" s="24"/>
      <c r="BC10" s="27"/>
      <c r="BD10" s="27"/>
      <c r="BE10" s="28"/>
      <c r="BF10" s="24"/>
      <c r="BG10" s="29"/>
      <c r="BH10" s="30"/>
      <c r="BI10" s="31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32"/>
      <c r="CK10" s="24"/>
      <c r="CL10" s="24"/>
      <c r="CM10" s="24"/>
      <c r="CN10" s="32"/>
      <c r="CQ10" s="32"/>
      <c r="CS10" s="29"/>
      <c r="CT10" s="30"/>
      <c r="CV10" s="32"/>
      <c r="CZ10" s="49"/>
      <c r="DA10" s="49"/>
      <c r="DB10" s="49"/>
      <c r="DC10" s="49"/>
      <c r="DD10" s="49"/>
      <c r="DE10" s="49"/>
      <c r="DF10" s="49"/>
      <c r="DG10" s="49"/>
      <c r="DH10" s="49"/>
      <c r="DI10" s="49"/>
      <c r="DJ10" s="49"/>
      <c r="DK10" s="49"/>
      <c r="DL10" s="49"/>
      <c r="DM10" s="49"/>
      <c r="DN10" s="49"/>
      <c r="DO10" s="49"/>
      <c r="DP10" s="49"/>
      <c r="DQ10" s="49"/>
      <c r="DR10" s="49"/>
      <c r="DS10" s="49"/>
      <c r="DT10" s="49"/>
      <c r="DU10" s="49"/>
      <c r="DV10" s="49"/>
      <c r="DW10" s="49"/>
      <c r="DX10" s="49"/>
      <c r="DY10" s="49"/>
      <c r="DZ10" s="49"/>
      <c r="EA10" s="49"/>
      <c r="EB10" s="49"/>
      <c r="EC10" s="49"/>
      <c r="ED10" s="32"/>
    </row>
    <row r="11" spans="1:136" ht="18" customHeight="1" x14ac:dyDescent="0.3">
      <c r="A11" s="235">
        <f>BF12</f>
        <v>0</v>
      </c>
      <c r="B11" s="236"/>
      <c r="C11" s="52"/>
      <c r="D11" s="52"/>
      <c r="E11" s="52"/>
      <c r="F11" s="16"/>
      <c r="G11" s="16"/>
      <c r="H11" s="17"/>
      <c r="I11" s="17"/>
      <c r="J11" s="17"/>
      <c r="K11" s="235">
        <f>BF13</f>
        <v>0</v>
      </c>
      <c r="L11" s="236"/>
      <c r="M11" s="16"/>
      <c r="N11" s="17"/>
      <c r="O11" s="17"/>
      <c r="S11" s="37"/>
      <c r="T11" s="17"/>
      <c r="U11" s="17"/>
      <c r="V11" s="237" t="s">
        <v>20</v>
      </c>
      <c r="W11" s="238"/>
      <c r="X11" s="239"/>
      <c r="Y11" s="53"/>
      <c r="Z11" s="53"/>
      <c r="AA11" s="220" t="s">
        <v>17</v>
      </c>
      <c r="AB11" s="222"/>
      <c r="AC11" s="17"/>
      <c r="AD11" s="243" t="s">
        <v>21</v>
      </c>
      <c r="AE11" s="244"/>
      <c r="AF11" s="244"/>
      <c r="AG11" s="245"/>
      <c r="AH11" s="17"/>
      <c r="AI11" s="17"/>
      <c r="AJ11" s="246" t="s">
        <v>17</v>
      </c>
      <c r="AK11" s="247"/>
      <c r="AL11" s="36"/>
      <c r="AM11" s="16"/>
      <c r="AN11" s="16"/>
      <c r="AO11" s="224" t="s">
        <v>17</v>
      </c>
      <c r="AP11" s="225"/>
      <c r="AQ11" s="226" t="s">
        <v>22</v>
      </c>
      <c r="AR11" s="227"/>
      <c r="AS11" s="16"/>
      <c r="AT11" s="230">
        <f>BF29</f>
        <v>0</v>
      </c>
      <c r="AU11" s="231"/>
      <c r="AV11" s="16"/>
      <c r="AW11" s="16"/>
      <c r="AX11" s="6"/>
      <c r="AY11" s="20">
        <f>BF72</f>
        <v>0</v>
      </c>
      <c r="AZ11" s="6"/>
      <c r="BA11" s="6"/>
      <c r="BB11" s="24"/>
      <c r="BC11" s="42"/>
      <c r="BD11" s="42"/>
      <c r="BE11" s="43"/>
      <c r="BF11" s="24"/>
      <c r="BG11" s="44"/>
      <c r="BH11" s="30"/>
      <c r="BI11" s="31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54"/>
      <c r="CF11" s="24"/>
      <c r="CG11" s="24"/>
      <c r="CH11" s="24"/>
      <c r="CI11" s="24"/>
      <c r="CJ11" s="32"/>
      <c r="CK11" s="24"/>
      <c r="CL11" s="24"/>
      <c r="CM11" s="24"/>
      <c r="CN11" s="32"/>
      <c r="CQ11" s="32"/>
      <c r="CS11" s="44"/>
      <c r="CT11" s="30"/>
      <c r="CV11" s="32"/>
      <c r="CZ11" s="24"/>
      <c r="DA11" s="24"/>
      <c r="DB11" s="24"/>
      <c r="DC11" s="24"/>
      <c r="DD11" s="24"/>
      <c r="DE11" s="24"/>
      <c r="DF11" s="24"/>
      <c r="DG11" s="24"/>
      <c r="DH11" s="24"/>
      <c r="DI11" s="24"/>
      <c r="DJ11" s="24"/>
      <c r="DK11" s="24"/>
      <c r="DL11" s="24"/>
      <c r="DM11" s="24"/>
      <c r="DN11" s="24"/>
      <c r="DO11" s="24"/>
      <c r="DP11" s="24"/>
      <c r="DQ11" s="24"/>
      <c r="DR11" s="24"/>
      <c r="DS11" s="24"/>
      <c r="DT11" s="24"/>
      <c r="DU11" s="24"/>
      <c r="DV11" s="24"/>
      <c r="DW11" s="24"/>
      <c r="DX11" s="24"/>
      <c r="DY11" s="24"/>
      <c r="DZ11" s="24"/>
      <c r="EA11" s="24"/>
      <c r="EB11" s="24"/>
      <c r="EC11" s="24"/>
      <c r="ED11" s="24"/>
    </row>
    <row r="12" spans="1:136" ht="19.5" customHeight="1" thickBot="1" x14ac:dyDescent="0.35">
      <c r="A12" s="55" t="s">
        <v>23</v>
      </c>
      <c r="B12" s="16"/>
      <c r="C12" s="16"/>
      <c r="D12" s="16"/>
      <c r="E12" s="16"/>
      <c r="F12" s="16"/>
      <c r="G12" s="56"/>
      <c r="H12" s="17"/>
      <c r="I12" s="17"/>
      <c r="J12" s="17"/>
      <c r="K12" s="232" t="s">
        <v>24</v>
      </c>
      <c r="L12" s="232"/>
      <c r="M12" s="57"/>
      <c r="N12" s="17"/>
      <c r="O12" s="17"/>
      <c r="Q12" s="58"/>
      <c r="S12" s="17"/>
      <c r="T12" s="17"/>
      <c r="U12" s="17"/>
      <c r="V12" s="240"/>
      <c r="W12" s="241"/>
      <c r="X12" s="242"/>
      <c r="Y12" s="59"/>
      <c r="Z12" s="53"/>
      <c r="AA12" s="60"/>
      <c r="AB12" s="61"/>
      <c r="AC12" s="17"/>
      <c r="AD12" s="240"/>
      <c r="AE12" s="241"/>
      <c r="AF12" s="241"/>
      <c r="AG12" s="242"/>
      <c r="AH12" s="17"/>
      <c r="AI12" s="17"/>
      <c r="AJ12" s="233" t="s">
        <v>25</v>
      </c>
      <c r="AK12" s="233"/>
      <c r="AL12" s="36"/>
      <c r="AM12" s="36"/>
      <c r="AN12" s="16"/>
      <c r="AO12" s="219" t="s">
        <v>26</v>
      </c>
      <c r="AP12" s="234"/>
      <c r="AQ12" s="228"/>
      <c r="AR12" s="229"/>
      <c r="AS12" s="16"/>
      <c r="AW12" s="16"/>
      <c r="AX12" s="62"/>
      <c r="AY12" s="62"/>
      <c r="AZ12" s="6"/>
      <c r="BA12" s="6"/>
      <c r="BB12" s="24"/>
      <c r="BC12" s="27"/>
      <c r="BD12" s="27"/>
      <c r="BE12" s="28"/>
      <c r="BF12" s="24"/>
      <c r="BG12" s="29"/>
      <c r="BH12" s="30"/>
      <c r="BI12" s="31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54"/>
      <c r="CC12" s="24"/>
      <c r="CD12" s="24"/>
      <c r="CE12" s="63"/>
      <c r="CF12" s="24"/>
      <c r="CG12" s="24"/>
      <c r="CH12" s="24"/>
      <c r="CI12" s="24"/>
      <c r="CJ12" s="32"/>
      <c r="CK12" s="24"/>
      <c r="CL12" s="24"/>
      <c r="CM12" s="24"/>
      <c r="CN12" s="32"/>
      <c r="CQ12" s="32"/>
      <c r="CS12" s="29"/>
      <c r="CT12" s="30"/>
      <c r="CV12" s="32"/>
      <c r="CZ12" s="24"/>
      <c r="DB12" s="24"/>
      <c r="DC12" s="24"/>
      <c r="DD12" s="24"/>
      <c r="DE12" s="24"/>
      <c r="DF12" s="24"/>
      <c r="DG12" s="24"/>
      <c r="DH12" s="24"/>
      <c r="DI12" s="24"/>
      <c r="DJ12" s="24"/>
      <c r="DK12" s="24"/>
      <c r="DL12" s="24"/>
      <c r="DM12" s="24"/>
      <c r="DN12" s="24"/>
      <c r="DO12" s="24"/>
      <c r="DP12" s="24"/>
      <c r="DQ12" s="24"/>
      <c r="DR12" s="24"/>
      <c r="DS12" s="24"/>
      <c r="DT12" s="24"/>
      <c r="DU12" s="24"/>
      <c r="DV12" s="24"/>
      <c r="DW12" s="32"/>
      <c r="DX12" s="24"/>
      <c r="DY12" s="24"/>
      <c r="DZ12" s="24"/>
      <c r="EA12" s="32"/>
      <c r="ED12" s="32"/>
    </row>
    <row r="13" spans="1:136" ht="18" customHeight="1" x14ac:dyDescent="0.3">
      <c r="A13" s="16"/>
      <c r="B13" s="16"/>
      <c r="C13" s="16"/>
      <c r="D13" s="16"/>
      <c r="E13" s="16"/>
      <c r="F13" s="16"/>
      <c r="G13" s="16"/>
      <c r="H13" s="17"/>
      <c r="I13" s="208">
        <f>BF14</f>
        <v>0</v>
      </c>
      <c r="J13" s="209"/>
      <c r="K13" s="17"/>
      <c r="L13" s="17"/>
      <c r="M13" s="17"/>
      <c r="N13" s="17"/>
      <c r="O13" s="17"/>
      <c r="P13" s="17"/>
      <c r="Q13" s="17"/>
      <c r="R13" s="17"/>
      <c r="S13" s="17"/>
      <c r="T13" s="64"/>
      <c r="U13" s="248">
        <f>U15+W17</f>
        <v>0</v>
      </c>
      <c r="V13" s="248"/>
      <c r="W13" s="65"/>
      <c r="X13" s="17"/>
      <c r="Y13" s="17"/>
      <c r="Z13" s="17"/>
      <c r="AA13" s="37"/>
      <c r="AB13" s="66">
        <f>IF(SUM(Q20,AA22)&gt;1,MIN((U15+W17+Q20+AA22+AB28+AD34+AB35),AA13),0)</f>
        <v>0</v>
      </c>
      <c r="AC13" s="67"/>
      <c r="AD13" s="17"/>
      <c r="AE13" s="17"/>
      <c r="AF13" s="17"/>
      <c r="AG13" s="17"/>
      <c r="AH13" s="17"/>
      <c r="AI13" s="17"/>
      <c r="AJ13" s="37"/>
      <c r="AK13" s="37"/>
      <c r="AL13" s="36"/>
      <c r="AM13" s="36"/>
      <c r="AN13" s="37"/>
      <c r="AO13" s="37"/>
      <c r="AP13" s="37"/>
      <c r="AQ13" s="16"/>
      <c r="AR13" s="16"/>
      <c r="AS13" s="17"/>
      <c r="AW13" s="16"/>
      <c r="BB13" s="24"/>
      <c r="BC13" s="27"/>
      <c r="BD13" s="27"/>
      <c r="BE13" s="28"/>
      <c r="BF13" s="24"/>
      <c r="BG13" s="29"/>
      <c r="BH13" s="68"/>
      <c r="BI13" s="31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63"/>
      <c r="CC13" s="24"/>
      <c r="CD13" s="24"/>
      <c r="CE13" s="63"/>
      <c r="CF13" s="24"/>
      <c r="CG13" s="24"/>
      <c r="CH13" s="24"/>
      <c r="CI13" s="24"/>
      <c r="CJ13" s="24"/>
      <c r="CK13" s="24"/>
      <c r="CL13" s="24"/>
      <c r="CM13" s="24"/>
      <c r="CN13" s="24"/>
      <c r="CO13" s="24"/>
      <c r="CP13" s="24"/>
      <c r="CQ13" s="24"/>
      <c r="CS13" s="29"/>
      <c r="CT13" s="68"/>
      <c r="CV13" s="32"/>
    </row>
    <row r="14" spans="1:136" ht="20.25" customHeight="1" x14ac:dyDescent="0.3">
      <c r="A14" s="16"/>
      <c r="B14" s="16"/>
      <c r="C14" s="16"/>
      <c r="D14" s="16"/>
      <c r="E14" s="16"/>
      <c r="F14" s="16"/>
      <c r="G14" s="16"/>
      <c r="H14" s="17"/>
      <c r="I14" s="249" t="s">
        <v>27</v>
      </c>
      <c r="J14" s="249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69"/>
      <c r="V14" s="69"/>
      <c r="W14" s="17"/>
      <c r="X14" s="17"/>
      <c r="Y14" s="70"/>
      <c r="Z14" s="70"/>
      <c r="AA14" s="71"/>
      <c r="AB14" s="11" t="s">
        <v>28</v>
      </c>
      <c r="AC14" s="37"/>
      <c r="AD14" s="72"/>
      <c r="AE14" s="72"/>
      <c r="AF14" s="17"/>
      <c r="AG14" s="17"/>
      <c r="AH14" s="17"/>
      <c r="AI14" s="17"/>
      <c r="AJ14" s="235">
        <f>BF33</f>
        <v>0</v>
      </c>
      <c r="AK14" s="236"/>
      <c r="AL14" s="36"/>
      <c r="AM14" s="36"/>
      <c r="AN14" s="37"/>
      <c r="AO14" s="37"/>
      <c r="AP14" s="73">
        <f>BF45</f>
        <v>0</v>
      </c>
      <c r="AQ14" s="58"/>
      <c r="AS14" s="16"/>
      <c r="AT14" s="16"/>
      <c r="AU14" s="230">
        <f>BF16</f>
        <v>0</v>
      </c>
      <c r="AV14" s="231"/>
      <c r="AW14" s="16"/>
      <c r="AZ14" s="16"/>
      <c r="BB14" s="24"/>
      <c r="BC14" s="27"/>
      <c r="BD14" s="27"/>
      <c r="BE14" s="28"/>
      <c r="BF14" s="24"/>
      <c r="BG14" s="29"/>
      <c r="BH14" s="30"/>
      <c r="BI14" s="31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63"/>
      <c r="CC14" s="24"/>
      <c r="CD14" s="24"/>
      <c r="CE14" s="63"/>
      <c r="CF14" s="24"/>
      <c r="CG14" s="24"/>
      <c r="CH14" s="24"/>
      <c r="CI14" s="24"/>
      <c r="CJ14" s="24"/>
      <c r="CK14" s="24"/>
      <c r="CL14" s="24"/>
      <c r="CM14" s="24"/>
      <c r="CN14" s="24"/>
      <c r="CO14" s="24"/>
      <c r="CP14" s="24"/>
      <c r="CQ14" s="24"/>
      <c r="CS14" s="29"/>
      <c r="CT14" s="30"/>
      <c r="CV14" s="32"/>
    </row>
    <row r="15" spans="1:136" ht="18" customHeight="1" x14ac:dyDescent="0.3">
      <c r="A15" s="16"/>
      <c r="B15" s="16"/>
      <c r="C15" s="16"/>
      <c r="D15" s="16"/>
      <c r="E15" s="16"/>
      <c r="F15" s="206">
        <f>BF18</f>
        <v>0</v>
      </c>
      <c r="G15" s="207"/>
      <c r="H15" s="17"/>
      <c r="I15" s="16"/>
      <c r="J15" s="16"/>
      <c r="K15" s="17"/>
      <c r="L15" s="17"/>
      <c r="M15" s="16"/>
      <c r="N15" s="17"/>
      <c r="O15" s="17"/>
      <c r="P15" s="17"/>
      <c r="Q15" s="17"/>
      <c r="R15" s="17"/>
      <c r="S15" s="17"/>
      <c r="T15" s="17"/>
      <c r="U15" s="235">
        <f>BF55</f>
        <v>0</v>
      </c>
      <c r="V15" s="236"/>
      <c r="W15" s="17"/>
      <c r="X15" s="17"/>
      <c r="Y15" s="37"/>
      <c r="Z15" s="37"/>
      <c r="AA15" s="17"/>
      <c r="AB15" s="74"/>
      <c r="AC15" s="75"/>
      <c r="AD15" s="17"/>
      <c r="AE15" s="17"/>
      <c r="AF15" s="76"/>
      <c r="AH15" s="17"/>
      <c r="AI15" s="17"/>
      <c r="AJ15" s="250" t="s">
        <v>29</v>
      </c>
      <c r="AK15" s="250"/>
      <c r="AL15" s="17"/>
      <c r="AM15" s="17"/>
      <c r="AN15" s="37"/>
      <c r="AO15" s="37"/>
      <c r="AP15" s="58" t="s">
        <v>30</v>
      </c>
      <c r="AQ15" s="58"/>
      <c r="AS15" s="16"/>
      <c r="AT15" s="16"/>
      <c r="AU15" s="251" t="s">
        <v>31</v>
      </c>
      <c r="AV15" s="251"/>
      <c r="AW15" s="251"/>
      <c r="AZ15" s="16"/>
      <c r="BB15" s="24"/>
      <c r="BC15" s="27"/>
      <c r="BD15" s="27"/>
      <c r="BE15" s="28"/>
      <c r="BF15" s="24"/>
      <c r="BG15" s="29"/>
      <c r="BH15" s="30"/>
      <c r="BI15" s="31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54"/>
      <c r="CC15" s="24"/>
      <c r="CD15" s="24"/>
      <c r="CE15" s="63"/>
      <c r="CF15" s="24"/>
      <c r="CG15" s="24"/>
      <c r="CH15" s="24"/>
      <c r="CI15" s="24"/>
      <c r="CJ15" s="32"/>
      <c r="CK15" s="24"/>
      <c r="CL15" s="24"/>
      <c r="CM15" s="24"/>
      <c r="CN15" s="32"/>
      <c r="CQ15" s="32"/>
      <c r="CS15" s="29"/>
      <c r="CT15" s="30"/>
      <c r="CV15" s="32"/>
      <c r="CZ15" s="24"/>
      <c r="DB15" s="24"/>
      <c r="DC15" s="24"/>
      <c r="DD15" s="24"/>
      <c r="DE15" s="24"/>
      <c r="DF15" s="24"/>
      <c r="DG15" s="24"/>
      <c r="DH15" s="24"/>
      <c r="DI15" s="24"/>
      <c r="DJ15" s="24"/>
      <c r="DK15" s="24"/>
      <c r="DL15" s="24"/>
      <c r="DM15" s="24"/>
      <c r="DN15" s="24"/>
      <c r="DO15" s="24"/>
      <c r="DP15" s="24"/>
      <c r="DQ15" s="24"/>
      <c r="DR15" s="24"/>
      <c r="DS15" s="24"/>
      <c r="DT15" s="24"/>
      <c r="DU15" s="24"/>
      <c r="DV15" s="24"/>
      <c r="DW15" s="32"/>
      <c r="DX15" s="24"/>
      <c r="DY15" s="24"/>
      <c r="DZ15" s="24"/>
      <c r="EA15" s="32"/>
      <c r="ED15" s="32"/>
    </row>
    <row r="16" spans="1:136" ht="16.5" customHeight="1" x14ac:dyDescent="0.3">
      <c r="A16" s="16"/>
      <c r="B16" s="16"/>
      <c r="C16" s="16"/>
      <c r="D16" s="16"/>
      <c r="E16" s="16"/>
      <c r="F16" s="252" t="s">
        <v>32</v>
      </c>
      <c r="G16" s="252"/>
      <c r="H16" s="77"/>
      <c r="I16" s="77"/>
      <c r="J16" s="17"/>
      <c r="K16" s="16"/>
      <c r="L16" s="73" t="s">
        <v>17</v>
      </c>
      <c r="M16" s="78"/>
      <c r="N16" s="79" t="s">
        <v>33</v>
      </c>
      <c r="O16" s="17"/>
      <c r="P16" s="17"/>
      <c r="Q16" s="17"/>
      <c r="R16" s="17"/>
      <c r="S16" s="17"/>
      <c r="T16" s="80"/>
      <c r="U16" s="80"/>
      <c r="V16" s="254" t="s">
        <v>34</v>
      </c>
      <c r="W16" s="72"/>
      <c r="X16" s="17"/>
      <c r="Y16" s="37"/>
      <c r="Z16" s="37"/>
      <c r="AA16" s="16"/>
      <c r="AB16" s="17"/>
      <c r="AC16" s="17"/>
      <c r="AD16" s="17"/>
      <c r="AE16" s="17"/>
      <c r="AF16" s="81"/>
      <c r="AG16" s="82"/>
      <c r="AH16" s="83"/>
      <c r="AI16" s="17"/>
      <c r="AJ16" s="37"/>
      <c r="AK16" s="37"/>
      <c r="AL16" s="37"/>
      <c r="AM16" s="37"/>
      <c r="AN16" s="37"/>
      <c r="AO16" s="37"/>
      <c r="AP16" s="37"/>
      <c r="AQ16" s="37"/>
      <c r="AR16" s="37"/>
      <c r="AS16" s="17"/>
      <c r="AT16" s="16"/>
      <c r="AU16" s="251"/>
      <c r="AV16" s="251"/>
      <c r="AW16" s="251"/>
      <c r="AZ16" s="16"/>
      <c r="BB16" s="24"/>
      <c r="BC16" s="27"/>
      <c r="BD16" s="27"/>
      <c r="BE16" s="28"/>
      <c r="BF16" s="24"/>
      <c r="BG16" s="29"/>
      <c r="BH16" s="30"/>
      <c r="BI16" s="31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54"/>
      <c r="CC16" s="24"/>
      <c r="CD16" s="24"/>
      <c r="CE16" s="24"/>
      <c r="CF16" s="24"/>
      <c r="CG16" s="24"/>
      <c r="CH16" s="24"/>
      <c r="CI16" s="24"/>
      <c r="CJ16" s="32"/>
      <c r="CK16" s="24"/>
      <c r="CL16" s="24"/>
      <c r="CM16" s="24"/>
      <c r="CN16" s="32"/>
      <c r="CQ16" s="32"/>
      <c r="CS16" s="29"/>
      <c r="CT16" s="30"/>
      <c r="CV16" s="32"/>
      <c r="CZ16" s="24"/>
      <c r="DB16" s="24"/>
      <c r="DC16" s="24"/>
      <c r="DD16" s="24"/>
      <c r="DE16" s="24"/>
      <c r="DF16" s="24"/>
      <c r="DG16" s="24"/>
      <c r="DH16" s="24"/>
      <c r="DI16" s="24"/>
      <c r="DJ16" s="24"/>
      <c r="DK16" s="24"/>
      <c r="DL16" s="24"/>
      <c r="DM16" s="24"/>
      <c r="DN16" s="24"/>
      <c r="DO16" s="24"/>
      <c r="DP16" s="24"/>
      <c r="DQ16" s="24"/>
      <c r="DR16" s="24"/>
      <c r="DS16" s="24"/>
      <c r="DT16" s="24"/>
      <c r="DU16" s="24"/>
      <c r="DV16" s="24"/>
      <c r="DW16" s="32"/>
      <c r="DX16" s="24"/>
      <c r="DY16" s="24"/>
      <c r="DZ16" s="24"/>
      <c r="EA16" s="32"/>
      <c r="ED16" s="32"/>
    </row>
    <row r="17" spans="1:134" ht="18" customHeight="1" x14ac:dyDescent="0.3">
      <c r="A17" s="16"/>
      <c r="B17" s="16"/>
      <c r="C17" s="16"/>
      <c r="D17" s="16"/>
      <c r="E17" s="16"/>
      <c r="F17" s="252"/>
      <c r="G17" s="252"/>
      <c r="H17" s="77"/>
      <c r="I17" s="77"/>
      <c r="J17" s="17"/>
      <c r="L17" s="84" t="s">
        <v>35</v>
      </c>
      <c r="M17" s="17"/>
      <c r="N17" s="17"/>
      <c r="O17" s="17"/>
      <c r="P17" s="17"/>
      <c r="Q17" s="17"/>
      <c r="R17" s="17"/>
      <c r="S17" s="17"/>
      <c r="T17" s="80"/>
      <c r="U17" s="80"/>
      <c r="V17" s="255"/>
      <c r="W17" s="85">
        <f>BF56</f>
        <v>0</v>
      </c>
      <c r="X17" s="37"/>
      <c r="Y17" s="37"/>
      <c r="Z17" s="37"/>
      <c r="AA17" s="72"/>
      <c r="AB17" s="17"/>
      <c r="AC17" s="17"/>
      <c r="AD17" s="17"/>
      <c r="AE17" s="17"/>
      <c r="AF17" s="256">
        <f>Q20+AA22+AJ24</f>
        <v>0</v>
      </c>
      <c r="AG17" s="257"/>
      <c r="AH17" s="83"/>
      <c r="AI17" s="16"/>
      <c r="AJ17" s="37"/>
      <c r="AK17" s="37"/>
      <c r="AL17" s="37"/>
      <c r="AM17" s="37"/>
      <c r="AN17" s="37"/>
      <c r="AO17" s="37"/>
      <c r="AP17" s="37"/>
      <c r="AQ17" s="86" t="s">
        <v>17</v>
      </c>
      <c r="AR17" s="37"/>
      <c r="AS17" s="17"/>
      <c r="AT17" s="16"/>
      <c r="AU17" s="16"/>
      <c r="AV17" s="16"/>
      <c r="AW17" s="16"/>
      <c r="AZ17" s="16"/>
      <c r="BB17" s="24"/>
      <c r="BC17" s="27"/>
      <c r="BD17" s="27"/>
      <c r="BE17" s="28"/>
      <c r="BF17" s="24"/>
      <c r="BG17" s="29"/>
      <c r="BH17" s="30"/>
      <c r="BI17" s="31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32"/>
      <c r="CK17" s="24"/>
      <c r="CL17" s="24"/>
      <c r="CM17" s="24"/>
      <c r="CN17" s="32"/>
      <c r="CQ17" s="32"/>
      <c r="CS17" s="29"/>
      <c r="CT17" s="87"/>
      <c r="CV17" s="32"/>
      <c r="CZ17" s="24"/>
      <c r="DB17" s="24"/>
      <c r="DC17" s="24"/>
      <c r="DD17" s="24"/>
      <c r="DE17" s="24"/>
      <c r="DF17" s="24"/>
      <c r="DG17" s="24"/>
      <c r="DH17" s="24"/>
      <c r="DI17" s="24"/>
      <c r="DJ17" s="24"/>
      <c r="DK17" s="24"/>
      <c r="DL17" s="24"/>
      <c r="DM17" s="24"/>
      <c r="DN17" s="24"/>
      <c r="DO17" s="24"/>
      <c r="DP17" s="24"/>
      <c r="DQ17" s="24"/>
      <c r="DR17" s="24"/>
      <c r="DS17" s="24"/>
      <c r="DT17" s="24"/>
      <c r="DU17" s="24"/>
      <c r="DV17" s="24"/>
      <c r="DW17" s="24"/>
      <c r="DX17" s="24"/>
      <c r="DY17" s="24"/>
      <c r="DZ17" s="24"/>
      <c r="EA17" s="24"/>
      <c r="EB17" s="24"/>
      <c r="EC17" s="24"/>
      <c r="ED17" s="24"/>
    </row>
    <row r="18" spans="1:134" ht="18" customHeight="1" x14ac:dyDescent="0.3">
      <c r="A18" s="16"/>
      <c r="B18" s="16"/>
      <c r="C18" s="16"/>
      <c r="D18" s="16"/>
      <c r="E18" s="16"/>
      <c r="F18" s="16"/>
      <c r="G18" s="16"/>
      <c r="H18" s="17"/>
      <c r="I18" s="17"/>
      <c r="J18" s="17"/>
      <c r="K18" s="17"/>
      <c r="L18" s="17"/>
      <c r="M18" s="17"/>
      <c r="N18" s="17"/>
      <c r="O18" s="17"/>
      <c r="Q18" s="199" t="s">
        <v>81</v>
      </c>
      <c r="R18" s="199"/>
      <c r="S18" s="17"/>
      <c r="T18" s="17"/>
      <c r="U18" s="17"/>
      <c r="V18" s="17"/>
      <c r="W18" s="11" t="s">
        <v>36</v>
      </c>
      <c r="X18" s="70"/>
      <c r="Y18" s="17"/>
      <c r="Z18" s="17"/>
      <c r="AA18" s="17"/>
      <c r="AB18" s="17"/>
      <c r="AC18" s="17"/>
      <c r="AD18" s="17"/>
      <c r="AE18" s="17"/>
      <c r="AF18" s="78"/>
      <c r="AG18" s="78"/>
      <c r="AH18" s="37"/>
      <c r="AI18" s="17"/>
      <c r="AJ18" s="37"/>
      <c r="AK18" s="37"/>
      <c r="AL18" s="37"/>
      <c r="AM18" s="37"/>
      <c r="AN18" s="37"/>
      <c r="AO18" s="37"/>
      <c r="AP18" s="258" t="s">
        <v>37</v>
      </c>
      <c r="AQ18" s="258"/>
      <c r="AR18" s="17"/>
      <c r="AS18" s="230">
        <f>BF30</f>
        <v>0</v>
      </c>
      <c r="AT18" s="231"/>
      <c r="AU18" s="16"/>
      <c r="AV18" s="16"/>
      <c r="AW18" s="16"/>
      <c r="AZ18" s="16"/>
      <c r="BB18" s="24"/>
      <c r="BC18" s="27"/>
      <c r="BD18" s="27"/>
      <c r="BE18" s="28"/>
      <c r="BF18" s="24"/>
      <c r="BG18" s="29"/>
      <c r="BH18" s="30"/>
      <c r="BI18" s="31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32"/>
      <c r="CI18" s="24"/>
      <c r="CJ18" s="32"/>
      <c r="CK18" s="24"/>
      <c r="CL18" s="24"/>
      <c r="CM18" s="24"/>
      <c r="CN18" s="32"/>
      <c r="CQ18" s="32"/>
      <c r="CS18" s="29"/>
      <c r="CT18" s="87"/>
      <c r="CV18" s="32"/>
    </row>
    <row r="19" spans="1:134" ht="24.75" customHeight="1" thickBot="1" x14ac:dyDescent="0.35">
      <c r="A19" s="16"/>
      <c r="B19" s="16"/>
      <c r="C19" s="16"/>
      <c r="D19" s="16"/>
      <c r="E19" s="16"/>
      <c r="F19" s="16"/>
      <c r="G19" s="16"/>
      <c r="H19" s="17"/>
      <c r="I19" s="17"/>
      <c r="J19" s="17"/>
      <c r="K19" s="17"/>
      <c r="L19" s="17"/>
      <c r="M19" s="17"/>
      <c r="N19" s="17"/>
      <c r="O19" s="17"/>
      <c r="P19" s="17"/>
      <c r="Q19" s="199"/>
      <c r="R19" s="199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37"/>
      <c r="AK19" s="37"/>
      <c r="AL19" s="37"/>
      <c r="AM19" s="37"/>
      <c r="AN19" s="37"/>
      <c r="AO19" s="37"/>
      <c r="AP19" s="258"/>
      <c r="AQ19" s="258"/>
      <c r="AR19" s="17"/>
      <c r="AS19" s="55" t="s">
        <v>38</v>
      </c>
      <c r="AT19" s="16"/>
      <c r="AU19" s="16"/>
      <c r="AV19" s="16"/>
      <c r="AW19" s="16"/>
      <c r="AZ19" s="16"/>
      <c r="BB19" s="24"/>
      <c r="BC19" s="27"/>
      <c r="BD19" s="27"/>
      <c r="BE19" s="28"/>
      <c r="BF19" s="24"/>
      <c r="BG19" s="29"/>
      <c r="BH19" s="30"/>
      <c r="BI19" s="31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32"/>
      <c r="CK19" s="24"/>
      <c r="CL19" s="24"/>
      <c r="CM19" s="24"/>
      <c r="CN19" s="32"/>
      <c r="CQ19" s="32"/>
      <c r="CS19" s="29"/>
      <c r="CT19" s="87"/>
      <c r="CV19" s="32"/>
    </row>
    <row r="20" spans="1:134" ht="18" customHeight="1" x14ac:dyDescent="0.3">
      <c r="A20" s="16"/>
      <c r="B20" s="16"/>
      <c r="C20" s="16"/>
      <c r="D20" s="16"/>
      <c r="E20" s="16"/>
      <c r="F20" s="16"/>
      <c r="G20" s="16"/>
      <c r="H20" s="17"/>
      <c r="I20" s="17"/>
      <c r="J20" s="17"/>
      <c r="K20" s="17"/>
      <c r="L20" s="16"/>
      <c r="M20" s="16"/>
      <c r="N20" s="17"/>
      <c r="O20" s="17"/>
      <c r="P20" s="17"/>
      <c r="Q20" s="235">
        <f>BF57</f>
        <v>0</v>
      </c>
      <c r="R20" s="236"/>
      <c r="S20" s="3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259" t="s">
        <v>39</v>
      </c>
      <c r="AE20" s="260"/>
      <c r="AF20" s="260"/>
      <c r="AG20" s="261"/>
      <c r="AH20" s="17"/>
      <c r="AI20" s="17"/>
      <c r="AJ20" s="37"/>
      <c r="AK20" s="37"/>
      <c r="AL20" s="37"/>
      <c r="AM20" s="37"/>
      <c r="AN20" s="37"/>
      <c r="AO20" s="37"/>
      <c r="AP20" s="37"/>
      <c r="AQ20" s="16"/>
      <c r="AR20" s="17"/>
      <c r="AS20" s="16"/>
      <c r="AT20" s="16"/>
      <c r="AU20" s="16"/>
      <c r="AV20" s="16"/>
      <c r="AZ20" s="16"/>
      <c r="BB20" s="24"/>
      <c r="BC20" s="42"/>
      <c r="BD20" s="42"/>
      <c r="BE20" s="43"/>
      <c r="BF20" s="24"/>
      <c r="BG20" s="44"/>
      <c r="BH20" s="30"/>
      <c r="BI20" s="31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32"/>
      <c r="CK20" s="24"/>
      <c r="CL20" s="24"/>
      <c r="CM20" s="24"/>
      <c r="CN20" s="32"/>
      <c r="CQ20" s="32"/>
      <c r="CS20" s="44"/>
      <c r="CT20" s="87"/>
      <c r="CV20" s="32"/>
    </row>
    <row r="21" spans="1:134" ht="18" customHeight="1" x14ac:dyDescent="0.3">
      <c r="A21" s="16"/>
      <c r="B21" s="16"/>
      <c r="C21" s="16"/>
      <c r="D21" s="16"/>
      <c r="E21" s="16"/>
      <c r="F21" s="200">
        <f>BF17</f>
        <v>0</v>
      </c>
      <c r="G21" s="201"/>
      <c r="H21" s="17"/>
      <c r="I21" s="17"/>
      <c r="J21" s="17"/>
      <c r="K21" s="17"/>
      <c r="L21" s="17"/>
      <c r="M21" s="17"/>
      <c r="N21" s="17"/>
      <c r="O21" s="17"/>
      <c r="S21" s="88"/>
      <c r="T21" s="88"/>
      <c r="U21" s="17"/>
      <c r="V21" s="272"/>
      <c r="W21" s="272"/>
      <c r="X21" s="17"/>
      <c r="Y21" s="17"/>
      <c r="Z21" s="17"/>
      <c r="AA21" s="17"/>
      <c r="AB21" s="17"/>
      <c r="AC21" s="17"/>
      <c r="AD21" s="262"/>
      <c r="AE21" s="263"/>
      <c r="AF21" s="263"/>
      <c r="AG21" s="264"/>
      <c r="AH21" s="17"/>
      <c r="AI21" s="17"/>
      <c r="AJ21" s="17"/>
      <c r="AK21" s="17"/>
      <c r="AL21" s="17"/>
      <c r="AM21" s="17"/>
      <c r="AN21" s="17"/>
      <c r="AO21" s="37"/>
      <c r="AP21" s="37"/>
      <c r="AQ21" s="17"/>
      <c r="AR21" s="17"/>
      <c r="AS21" s="16"/>
      <c r="AT21" s="16"/>
      <c r="AU21" s="16"/>
      <c r="AV21" s="16"/>
      <c r="AZ21" s="16"/>
      <c r="BB21" s="24"/>
      <c r="BC21" s="42"/>
      <c r="BD21" s="42"/>
      <c r="BE21" s="43"/>
      <c r="BF21" s="24"/>
      <c r="BG21" s="44"/>
      <c r="BH21" s="30"/>
      <c r="BI21" s="31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32"/>
      <c r="CK21" s="24"/>
      <c r="CL21" s="24"/>
      <c r="CM21" s="24"/>
      <c r="CN21" s="32"/>
      <c r="CQ21" s="32"/>
      <c r="CS21" s="44"/>
      <c r="CT21" s="87"/>
      <c r="CV21" s="32"/>
      <c r="CZ21" s="24"/>
      <c r="DB21" s="24"/>
      <c r="DC21" s="24"/>
      <c r="DD21" s="24"/>
      <c r="DE21" s="24"/>
      <c r="DF21" s="24"/>
      <c r="DG21" s="24"/>
      <c r="DH21" s="24"/>
      <c r="DI21" s="24"/>
      <c r="DJ21" s="24"/>
      <c r="DK21" s="24"/>
      <c r="DL21" s="24"/>
      <c r="DM21" s="24"/>
      <c r="DN21" s="24"/>
      <c r="DO21" s="24"/>
      <c r="DP21" s="24"/>
      <c r="DQ21" s="24"/>
      <c r="DR21" s="24"/>
      <c r="DS21" s="24"/>
      <c r="DT21" s="24"/>
      <c r="DU21" s="24"/>
      <c r="DV21" s="24"/>
      <c r="DW21" s="32"/>
      <c r="DX21" s="24"/>
      <c r="DY21" s="24"/>
      <c r="DZ21" s="24"/>
      <c r="EA21" s="32"/>
      <c r="ED21" s="32"/>
    </row>
    <row r="22" spans="1:134" ht="18" customHeight="1" x14ac:dyDescent="0.3">
      <c r="A22" s="16"/>
      <c r="B22" s="16"/>
      <c r="C22" s="16"/>
      <c r="D22" s="16"/>
      <c r="E22" s="16"/>
      <c r="F22" s="253" t="s">
        <v>40</v>
      </c>
      <c r="G22" s="253"/>
      <c r="H22" s="253"/>
      <c r="I22" s="16"/>
      <c r="J22" s="17"/>
      <c r="K22" s="17"/>
      <c r="L22" s="75"/>
      <c r="M22" s="17"/>
      <c r="N22" s="17"/>
      <c r="O22" s="75"/>
      <c r="P22" s="26"/>
      <c r="Q22" s="26"/>
      <c r="R22" s="26"/>
      <c r="S22" s="26"/>
      <c r="T22" s="26"/>
      <c r="U22" s="37"/>
      <c r="V22" s="37"/>
      <c r="W22" s="75"/>
      <c r="X22" s="17"/>
      <c r="Y22" s="17"/>
      <c r="Z22" s="17"/>
      <c r="AA22" s="235">
        <f>BF58</f>
        <v>0</v>
      </c>
      <c r="AB22" s="236"/>
      <c r="AC22" s="17"/>
      <c r="AD22" s="262"/>
      <c r="AE22" s="263"/>
      <c r="AF22" s="263"/>
      <c r="AG22" s="264"/>
      <c r="AH22" s="17"/>
      <c r="AI22" s="17"/>
      <c r="AJ22" s="17"/>
      <c r="AK22" s="17"/>
      <c r="AL22" s="17"/>
      <c r="AM22" s="200">
        <f>BF42</f>
        <v>0</v>
      </c>
      <c r="AN22" s="201"/>
      <c r="AO22" s="89"/>
      <c r="AP22" s="89"/>
      <c r="AQ22" s="17"/>
      <c r="AR22" s="17"/>
      <c r="AS22" s="16"/>
      <c r="AT22" s="16"/>
      <c r="AU22" s="16"/>
      <c r="AV22" s="16"/>
      <c r="AZ22" s="16"/>
      <c r="BB22" s="24"/>
      <c r="BC22" s="42"/>
      <c r="BD22" s="42"/>
      <c r="BE22" s="43"/>
      <c r="BF22" s="24"/>
      <c r="BG22" s="44"/>
      <c r="BH22" s="30"/>
      <c r="BI22" s="31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32"/>
      <c r="CK22" s="24"/>
      <c r="CL22" s="24"/>
      <c r="CM22" s="24"/>
      <c r="CN22" s="32"/>
      <c r="CQ22" s="32"/>
      <c r="CS22" s="44"/>
      <c r="CT22" s="87"/>
      <c r="CV22" s="32"/>
      <c r="CZ22" s="24"/>
      <c r="DB22" s="24"/>
      <c r="DC22" s="24"/>
      <c r="DD22" s="24"/>
      <c r="DE22" s="24"/>
      <c r="DF22" s="24"/>
      <c r="DG22" s="24"/>
      <c r="DH22" s="24"/>
      <c r="DI22" s="24"/>
      <c r="DJ22" s="24"/>
      <c r="DK22" s="24"/>
      <c r="DL22" s="24"/>
      <c r="DM22" s="24"/>
      <c r="DN22" s="24"/>
      <c r="DO22" s="24"/>
      <c r="DP22" s="24"/>
      <c r="DQ22" s="24"/>
      <c r="DR22" s="24"/>
      <c r="DS22" s="24"/>
      <c r="DT22" s="24"/>
      <c r="DU22" s="24"/>
      <c r="DV22" s="24"/>
      <c r="DW22" s="32"/>
      <c r="DX22" s="24"/>
      <c r="DY22" s="24"/>
      <c r="DZ22" s="24"/>
      <c r="EA22" s="32"/>
      <c r="ED22" s="32"/>
    </row>
    <row r="23" spans="1:134" ht="18" customHeight="1" thickBot="1" x14ac:dyDescent="0.35">
      <c r="A23" s="16"/>
      <c r="B23" s="16"/>
      <c r="C23" s="16"/>
      <c r="D23" s="16"/>
      <c r="E23" s="16"/>
      <c r="F23" s="253"/>
      <c r="G23" s="253"/>
      <c r="H23" s="253"/>
      <c r="I23" s="16"/>
      <c r="J23" s="16"/>
      <c r="K23" s="17"/>
      <c r="L23" s="16"/>
      <c r="M23" s="16"/>
      <c r="N23" s="16"/>
      <c r="O23" s="85">
        <f>BF7</f>
        <v>0</v>
      </c>
      <c r="P23" s="90" t="s">
        <v>41</v>
      </c>
      <c r="Q23" s="91"/>
      <c r="R23" s="17"/>
      <c r="S23" s="17"/>
      <c r="T23" s="78" t="s">
        <v>33</v>
      </c>
      <c r="U23" s="78"/>
      <c r="V23" s="92" t="s">
        <v>33</v>
      </c>
      <c r="W23" s="37"/>
      <c r="X23" s="16"/>
      <c r="Y23" s="16"/>
      <c r="Z23" s="16"/>
      <c r="AA23" s="93" t="s">
        <v>42</v>
      </c>
      <c r="AB23" s="94"/>
      <c r="AD23" s="265"/>
      <c r="AE23" s="266"/>
      <c r="AF23" s="266"/>
      <c r="AG23" s="267"/>
      <c r="AH23" s="17"/>
      <c r="AI23" s="17"/>
      <c r="AJ23" s="17"/>
      <c r="AK23" s="17"/>
      <c r="AL23" s="17"/>
      <c r="AM23" s="249" t="s">
        <v>43</v>
      </c>
      <c r="AN23" s="249"/>
      <c r="AO23" s="37"/>
      <c r="AP23" s="37"/>
      <c r="AQ23" s="17"/>
      <c r="AR23" s="17"/>
      <c r="AS23" s="16"/>
      <c r="AT23" s="16"/>
      <c r="AU23" s="16"/>
      <c r="AV23" s="16"/>
      <c r="AW23" s="16"/>
      <c r="AX23" s="16"/>
      <c r="AY23" s="16"/>
      <c r="AZ23" s="16"/>
      <c r="BB23" s="24"/>
      <c r="BC23" s="42"/>
      <c r="BD23" s="42"/>
      <c r="BE23" s="43"/>
      <c r="BF23" s="24"/>
      <c r="BG23" s="44"/>
      <c r="BH23" s="30"/>
      <c r="BI23" s="31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32"/>
      <c r="CK23" s="24"/>
      <c r="CL23" s="24"/>
      <c r="CM23" s="24"/>
      <c r="CN23" s="32"/>
      <c r="CQ23" s="32"/>
      <c r="CS23" s="44"/>
      <c r="CT23" s="87"/>
      <c r="CV23" s="32"/>
      <c r="CZ23" s="24"/>
      <c r="DB23" s="24"/>
      <c r="DC23" s="24"/>
      <c r="DD23" s="24"/>
      <c r="DE23" s="24"/>
      <c r="DF23" s="24"/>
      <c r="DG23" s="24"/>
      <c r="DH23" s="24"/>
      <c r="DI23" s="24"/>
      <c r="DJ23" s="24"/>
      <c r="DK23" s="24"/>
      <c r="DL23" s="24"/>
      <c r="DM23" s="24"/>
      <c r="DN23" s="24"/>
      <c r="DO23" s="24"/>
      <c r="DP23" s="24"/>
      <c r="DQ23" s="24"/>
      <c r="DR23" s="24"/>
      <c r="DS23" s="24"/>
      <c r="DT23" s="24"/>
      <c r="DU23" s="24"/>
      <c r="DV23" s="24"/>
      <c r="DW23" s="32"/>
      <c r="DX23" s="32"/>
      <c r="DY23" s="32"/>
      <c r="DZ23" s="32"/>
      <c r="EA23" s="32"/>
      <c r="ED23" s="32"/>
    </row>
    <row r="24" spans="1:134" ht="18" customHeight="1" x14ac:dyDescent="0.3">
      <c r="A24" s="16"/>
      <c r="B24" s="16"/>
      <c r="C24" s="16"/>
      <c r="D24" s="16"/>
      <c r="E24" s="16"/>
      <c r="F24" s="253"/>
      <c r="G24" s="253"/>
      <c r="H24" s="253"/>
      <c r="I24" s="16"/>
      <c r="J24" s="16"/>
      <c r="K24" s="17"/>
      <c r="L24" s="16"/>
      <c r="M24" s="16"/>
      <c r="N24" s="16"/>
      <c r="O24" s="85">
        <f>BF10</f>
        <v>0</v>
      </c>
      <c r="P24" s="90" t="s">
        <v>44</v>
      </c>
      <c r="Q24" s="29"/>
      <c r="R24" s="17"/>
      <c r="S24" s="17"/>
      <c r="T24" s="89"/>
      <c r="U24" s="89"/>
      <c r="V24" s="92"/>
      <c r="W24" s="37"/>
      <c r="X24" s="16"/>
      <c r="Y24" s="16"/>
      <c r="Z24" s="16"/>
      <c r="AA24" s="95"/>
      <c r="AB24" s="95"/>
      <c r="AC24" s="96"/>
      <c r="AD24" s="97"/>
      <c r="AE24" s="97"/>
      <c r="AF24" s="97"/>
      <c r="AG24" s="97"/>
      <c r="AH24" s="17"/>
      <c r="AI24" s="17"/>
      <c r="AJ24" s="235">
        <f>BF34</f>
        <v>0</v>
      </c>
      <c r="AK24" s="236"/>
      <c r="AL24" s="17"/>
      <c r="AM24" s="75"/>
      <c r="AN24" s="75"/>
      <c r="AO24" s="37"/>
      <c r="AP24" s="37"/>
      <c r="AQ24" s="17"/>
      <c r="AR24" s="17"/>
      <c r="AS24" s="16"/>
      <c r="AT24" s="16"/>
      <c r="AU24" s="16"/>
      <c r="AV24" s="16"/>
      <c r="AW24" s="16"/>
      <c r="AX24" s="16"/>
      <c r="AY24" s="16"/>
      <c r="AZ24" s="16"/>
      <c r="BB24" s="24"/>
      <c r="BC24" s="42"/>
      <c r="BD24" s="42"/>
      <c r="BE24" s="43"/>
      <c r="BF24" s="24"/>
      <c r="BG24" s="44"/>
      <c r="BH24" s="30"/>
      <c r="BI24" s="31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32"/>
      <c r="CK24" s="24"/>
      <c r="CL24" s="24"/>
      <c r="CM24" s="24"/>
      <c r="CN24" s="32"/>
      <c r="CQ24" s="32"/>
      <c r="CS24" s="44"/>
      <c r="CT24" s="87"/>
      <c r="CV24" s="32"/>
      <c r="CZ24" s="24"/>
      <c r="DB24" s="24"/>
      <c r="DC24" s="24"/>
      <c r="DD24" s="24"/>
      <c r="DE24" s="24"/>
      <c r="DF24" s="24"/>
      <c r="DG24" s="24"/>
      <c r="DH24" s="24"/>
      <c r="DI24" s="24"/>
      <c r="DJ24" s="24"/>
      <c r="DK24" s="24"/>
      <c r="DL24" s="24"/>
      <c r="DM24" s="24"/>
      <c r="DN24" s="24"/>
      <c r="DO24" s="24"/>
      <c r="DP24" s="24"/>
      <c r="DQ24" s="24"/>
      <c r="DR24" s="24"/>
      <c r="DS24" s="24"/>
      <c r="DT24" s="24"/>
      <c r="DU24" s="24"/>
      <c r="DV24" s="24"/>
      <c r="DW24" s="24"/>
      <c r="DX24" s="24"/>
      <c r="DY24" s="24"/>
      <c r="DZ24" s="24"/>
      <c r="EA24" s="24"/>
      <c r="EB24" s="24"/>
      <c r="EC24" s="24"/>
      <c r="ED24" s="24"/>
    </row>
    <row r="25" spans="1:134" ht="18" customHeight="1" x14ac:dyDescent="0.3">
      <c r="A25" s="16"/>
      <c r="B25" s="16"/>
      <c r="C25" s="16"/>
      <c r="D25" s="16"/>
      <c r="E25" s="16"/>
      <c r="F25" s="16"/>
      <c r="G25" s="16"/>
      <c r="H25" s="98"/>
      <c r="I25" s="16"/>
      <c r="J25" s="17"/>
      <c r="K25" s="17"/>
      <c r="L25" s="268" t="s">
        <v>33</v>
      </c>
      <c r="M25" s="268"/>
      <c r="N25" s="16"/>
      <c r="O25" s="85">
        <f>BF47</f>
        <v>0</v>
      </c>
      <c r="P25" s="99" t="s">
        <v>45</v>
      </c>
      <c r="Q25" s="29"/>
      <c r="R25" s="17"/>
      <c r="S25" s="17"/>
      <c r="T25" s="36"/>
      <c r="U25" s="37"/>
      <c r="V25" s="37"/>
      <c r="W25" s="3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6"/>
      <c r="AJ25" s="58" t="s">
        <v>46</v>
      </c>
      <c r="AK25" s="16"/>
      <c r="AL25" s="89"/>
      <c r="AM25" s="89"/>
      <c r="AN25" s="17"/>
      <c r="AO25" s="37"/>
      <c r="AP25" s="37"/>
      <c r="AQ25" s="17"/>
      <c r="AR25" s="17"/>
      <c r="AS25" s="16"/>
      <c r="AT25" s="16"/>
      <c r="AU25" s="16"/>
      <c r="AV25" s="16"/>
      <c r="AW25" s="16"/>
      <c r="AX25" s="16"/>
      <c r="AY25" s="16"/>
      <c r="AZ25" s="16"/>
      <c r="BB25" s="24"/>
      <c r="BC25" s="42"/>
      <c r="BD25" s="42"/>
      <c r="BE25" s="43"/>
      <c r="BF25" s="24"/>
      <c r="BG25" s="44"/>
      <c r="BH25" s="30"/>
      <c r="BI25" s="31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32"/>
      <c r="CK25" s="24"/>
      <c r="CL25" s="24"/>
      <c r="CM25" s="24"/>
      <c r="CN25" s="32"/>
      <c r="CQ25" s="32"/>
      <c r="CS25" s="44"/>
      <c r="CT25" s="87"/>
      <c r="CV25" s="32"/>
      <c r="CZ25" s="24"/>
      <c r="DB25" s="24"/>
      <c r="DC25" s="24"/>
      <c r="DD25" s="24"/>
      <c r="DE25" s="24"/>
      <c r="DF25" s="24"/>
      <c r="DG25" s="24"/>
      <c r="DH25" s="24"/>
      <c r="DI25" s="24"/>
      <c r="DJ25" s="24"/>
      <c r="DK25" s="24"/>
      <c r="DL25" s="24"/>
      <c r="DM25" s="24"/>
      <c r="DN25" s="24"/>
      <c r="DO25" s="24"/>
      <c r="DP25" s="24"/>
      <c r="DQ25" s="24"/>
      <c r="DR25" s="24"/>
      <c r="DS25" s="24"/>
      <c r="DT25" s="24"/>
      <c r="DU25" s="24"/>
      <c r="DV25" s="24"/>
      <c r="DW25" s="24"/>
      <c r="DX25" s="24"/>
      <c r="DY25" s="24"/>
      <c r="DZ25" s="24"/>
      <c r="EA25" s="24"/>
      <c r="EB25" s="24"/>
      <c r="EC25" s="24"/>
      <c r="ED25" s="24"/>
    </row>
    <row r="26" spans="1:134" ht="18" customHeight="1" x14ac:dyDescent="0.3">
      <c r="A26" s="100"/>
      <c r="B26" s="100"/>
      <c r="C26" s="100"/>
      <c r="D26" s="100"/>
      <c r="E26" s="100"/>
      <c r="F26" s="16"/>
      <c r="G26" s="16"/>
      <c r="H26" s="98"/>
      <c r="I26" s="16"/>
      <c r="J26" s="17"/>
      <c r="K26" s="17"/>
      <c r="L26" s="268" t="s">
        <v>33</v>
      </c>
      <c r="M26" s="268"/>
      <c r="N26" s="16"/>
      <c r="O26" s="86">
        <f>BF50</f>
        <v>0</v>
      </c>
      <c r="P26" s="90" t="s">
        <v>47</v>
      </c>
      <c r="Q26" s="29"/>
      <c r="R26" s="17"/>
      <c r="S26" s="16"/>
      <c r="T26" s="16"/>
      <c r="U26" s="16"/>
      <c r="V26" s="16"/>
      <c r="W26" s="17"/>
      <c r="X26" s="17"/>
      <c r="Y26" s="17"/>
      <c r="Z26" s="17"/>
      <c r="AA26" s="17"/>
      <c r="AB26" s="16"/>
      <c r="AC26" s="16"/>
      <c r="AD26" s="26"/>
      <c r="AE26" s="89"/>
      <c r="AF26" s="26"/>
      <c r="AG26" s="16"/>
      <c r="AH26" s="17"/>
      <c r="AI26" s="74"/>
      <c r="AJ26" s="16"/>
      <c r="AK26" s="17"/>
      <c r="AL26" s="17"/>
      <c r="AM26" s="17"/>
      <c r="AN26" s="17"/>
      <c r="AO26" s="37"/>
      <c r="AP26" s="37"/>
      <c r="AQ26" s="17"/>
      <c r="AR26" s="17"/>
      <c r="AU26" s="16"/>
      <c r="AV26" s="16"/>
      <c r="AW26" s="16"/>
      <c r="AX26" s="16"/>
      <c r="AY26" s="16"/>
      <c r="AZ26" s="16"/>
      <c r="BB26" s="24"/>
      <c r="BC26" s="42"/>
      <c r="BD26" s="42"/>
      <c r="BE26" s="43"/>
      <c r="BF26" s="24"/>
      <c r="BG26" s="44"/>
      <c r="BH26" s="30"/>
      <c r="BI26" s="31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32"/>
      <c r="CK26" s="24"/>
      <c r="CL26" s="24"/>
      <c r="CM26" s="24"/>
      <c r="CN26" s="32"/>
      <c r="CQ26" s="32"/>
      <c r="CS26" s="44"/>
      <c r="CT26" s="87"/>
      <c r="CV26" s="32"/>
    </row>
    <row r="27" spans="1:134" ht="18" customHeight="1" x14ac:dyDescent="0.3">
      <c r="A27" s="100"/>
      <c r="B27" s="219" t="s">
        <v>48</v>
      </c>
      <c r="C27" s="219"/>
      <c r="D27" s="219"/>
      <c r="E27" s="269"/>
      <c r="F27" s="204">
        <f>BF6</f>
        <v>0</v>
      </c>
      <c r="G27" s="205"/>
      <c r="H27" s="55"/>
      <c r="I27" s="55"/>
      <c r="J27" s="17"/>
      <c r="K27" s="17"/>
      <c r="L27" s="268" t="s">
        <v>33</v>
      </c>
      <c r="M27" s="268"/>
      <c r="N27" s="16"/>
      <c r="Q27" s="29"/>
      <c r="R27" s="17"/>
      <c r="S27" s="16"/>
      <c r="T27" s="270">
        <f>F27-O23</f>
        <v>0</v>
      </c>
      <c r="U27" s="271"/>
      <c r="V27" s="90" t="s">
        <v>49</v>
      </c>
      <c r="W27" s="17"/>
      <c r="X27" s="17"/>
      <c r="Y27" s="17"/>
      <c r="Z27" s="17"/>
      <c r="AA27" s="17"/>
      <c r="AB27" s="16"/>
      <c r="AC27" s="16"/>
      <c r="AD27" s="16"/>
      <c r="AE27" s="16"/>
      <c r="AF27" s="16"/>
      <c r="AG27" s="16"/>
      <c r="AH27" s="17"/>
      <c r="AI27" s="74"/>
      <c r="AJ27" s="36"/>
      <c r="AK27" s="17"/>
      <c r="AL27" s="17"/>
      <c r="AM27" s="17"/>
      <c r="AN27" s="17"/>
      <c r="AO27" s="37"/>
      <c r="AP27" s="37"/>
      <c r="AQ27" s="17"/>
      <c r="AR27" s="17"/>
      <c r="AU27" s="16"/>
      <c r="AV27" s="16"/>
      <c r="AW27" s="16"/>
      <c r="AX27" s="16"/>
      <c r="AY27" s="16"/>
      <c r="AZ27" s="16"/>
      <c r="BB27" s="24"/>
      <c r="BC27" s="27"/>
      <c r="BD27" s="27"/>
      <c r="BE27" s="28"/>
      <c r="BF27" s="24"/>
      <c r="BG27" s="29"/>
      <c r="BH27" s="30"/>
      <c r="BI27" s="31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32"/>
      <c r="CK27" s="24"/>
      <c r="CL27" s="24"/>
      <c r="CM27" s="24"/>
      <c r="CN27" s="32"/>
      <c r="CQ27" s="32"/>
      <c r="CS27" s="29"/>
      <c r="CT27" s="87"/>
      <c r="CV27" s="32"/>
    </row>
    <row r="28" spans="1:134" ht="18" customHeight="1" x14ac:dyDescent="0.3">
      <c r="A28" s="100"/>
      <c r="B28" s="100"/>
      <c r="C28" s="100"/>
      <c r="D28" s="100"/>
      <c r="E28" s="101"/>
      <c r="F28" s="48"/>
      <c r="G28" s="48"/>
      <c r="H28" s="48"/>
      <c r="I28" s="48"/>
      <c r="J28" s="17"/>
      <c r="K28" s="17"/>
      <c r="L28" s="17"/>
      <c r="M28" s="17"/>
      <c r="N28" s="17"/>
      <c r="O28" s="17"/>
      <c r="P28" s="17"/>
      <c r="Q28" s="17"/>
      <c r="R28" s="17"/>
      <c r="S28" s="26"/>
      <c r="T28" s="102" t="s">
        <v>33</v>
      </c>
      <c r="U28" s="102"/>
      <c r="V28" s="103" t="s">
        <v>33</v>
      </c>
      <c r="W28" s="104"/>
      <c r="X28" s="17"/>
      <c r="Y28" s="17"/>
      <c r="Z28" s="17"/>
      <c r="AA28" s="17"/>
      <c r="AB28" s="200">
        <f>BF59</f>
        <v>0</v>
      </c>
      <c r="AC28" s="201"/>
      <c r="AD28" s="26"/>
      <c r="AE28" s="16"/>
      <c r="AF28" s="78"/>
      <c r="AG28" s="16"/>
      <c r="AH28" s="17"/>
      <c r="AI28" s="74"/>
      <c r="AJ28" s="36"/>
      <c r="AK28" s="17"/>
      <c r="AL28" s="17"/>
      <c r="AM28" s="17"/>
      <c r="AN28" s="17"/>
      <c r="AO28" s="37"/>
      <c r="AP28" s="37"/>
      <c r="AQ28" s="17"/>
      <c r="AR28" s="17"/>
      <c r="AS28" s="16"/>
      <c r="AT28" s="16"/>
      <c r="AU28" s="16"/>
      <c r="AV28" s="16"/>
      <c r="AW28" s="16"/>
      <c r="AX28" s="16"/>
      <c r="AY28" s="16"/>
      <c r="AZ28" s="16"/>
      <c r="BB28" s="24"/>
      <c r="BC28" s="27"/>
      <c r="BD28" s="27"/>
      <c r="BE28" s="28"/>
      <c r="BF28" s="24"/>
      <c r="BG28" s="29"/>
      <c r="BH28" s="68"/>
      <c r="BI28" s="31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  <c r="CK28" s="24"/>
      <c r="CL28" s="24"/>
      <c r="CM28" s="24"/>
      <c r="CN28" s="24"/>
      <c r="CO28" s="24"/>
      <c r="CP28" s="24"/>
      <c r="CQ28" s="24"/>
      <c r="CS28" s="29"/>
      <c r="CT28" s="87"/>
      <c r="CV28" s="32"/>
      <c r="CZ28" s="24"/>
      <c r="DB28" s="24"/>
      <c r="DC28" s="24"/>
      <c r="DD28" s="24"/>
      <c r="DE28" s="24"/>
      <c r="DF28" s="24"/>
      <c r="DG28" s="24"/>
      <c r="DH28" s="24"/>
      <c r="DI28" s="24"/>
      <c r="DJ28" s="24"/>
      <c r="DK28" s="24"/>
      <c r="DL28" s="24"/>
      <c r="DM28" s="24"/>
      <c r="DN28" s="24"/>
      <c r="DO28" s="105"/>
      <c r="DP28" s="24"/>
      <c r="DQ28" s="24"/>
      <c r="DR28" s="24"/>
      <c r="DS28" s="24"/>
      <c r="DT28" s="24"/>
      <c r="DU28" s="24"/>
      <c r="DV28" s="24"/>
      <c r="DW28" s="32"/>
      <c r="DX28" s="24"/>
      <c r="DY28" s="24"/>
      <c r="DZ28" s="24"/>
      <c r="EA28" s="32"/>
      <c r="ED28" s="32"/>
    </row>
    <row r="29" spans="1:134" ht="18" customHeight="1" thickBot="1" x14ac:dyDescent="0.35">
      <c r="A29" s="100"/>
      <c r="B29" s="100"/>
      <c r="C29" s="100"/>
      <c r="D29" s="100"/>
      <c r="E29" s="100"/>
      <c r="F29" s="67"/>
      <c r="G29" s="67"/>
      <c r="H29" s="26"/>
      <c r="I29" s="26"/>
      <c r="J29" s="26"/>
      <c r="K29" s="17"/>
      <c r="L29" s="47"/>
      <c r="M29" s="17"/>
      <c r="N29" s="17"/>
      <c r="O29" s="17"/>
      <c r="P29" s="17"/>
      <c r="Q29" s="17"/>
      <c r="R29" s="17"/>
      <c r="S29" s="17"/>
      <c r="T29" s="17"/>
      <c r="U29" s="17"/>
      <c r="V29" s="106" t="s">
        <v>33</v>
      </c>
      <c r="W29" s="17"/>
      <c r="X29" s="17"/>
      <c r="Y29" s="107" t="s">
        <v>50</v>
      </c>
      <c r="Z29" s="107"/>
      <c r="AA29" s="17"/>
      <c r="AB29" s="250" t="s">
        <v>51</v>
      </c>
      <c r="AC29" s="250"/>
      <c r="AE29" s="74"/>
      <c r="AF29" s="74"/>
      <c r="AG29" s="277">
        <f>BF64</f>
        <v>0</v>
      </c>
      <c r="AH29" s="278"/>
      <c r="AI29" s="11" t="s">
        <v>52</v>
      </c>
      <c r="AJ29" s="17"/>
      <c r="AK29" s="17"/>
      <c r="AL29" s="17"/>
      <c r="AM29" s="17"/>
      <c r="AN29" s="17"/>
      <c r="AO29" s="37"/>
      <c r="AP29" s="37"/>
      <c r="AQ29" s="17"/>
      <c r="AR29" s="17"/>
      <c r="AS29" s="16"/>
      <c r="AT29" s="16"/>
      <c r="AU29" s="16"/>
      <c r="AV29" s="16"/>
      <c r="AW29" s="16"/>
      <c r="AX29" s="16"/>
      <c r="AY29" s="16"/>
      <c r="AZ29" s="16"/>
      <c r="BB29" s="24"/>
      <c r="BC29" s="27"/>
      <c r="BD29" s="27"/>
      <c r="BE29" s="28"/>
      <c r="BF29" s="24"/>
      <c r="BG29" s="29"/>
      <c r="BH29" s="30"/>
      <c r="BI29" s="31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32"/>
      <c r="CK29" s="24"/>
      <c r="CL29" s="24"/>
      <c r="CM29" s="24"/>
      <c r="CN29" s="32"/>
      <c r="CO29" s="108"/>
      <c r="CP29" s="108"/>
      <c r="CQ29" s="109"/>
      <c r="CS29" s="29"/>
      <c r="CT29" s="87"/>
      <c r="CV29" s="32"/>
      <c r="CZ29" s="24"/>
      <c r="DB29" s="24"/>
      <c r="DC29" s="24"/>
      <c r="DD29" s="24"/>
      <c r="DE29" s="24"/>
      <c r="DF29" s="24"/>
      <c r="DG29" s="24"/>
      <c r="DH29" s="24"/>
      <c r="DI29" s="24"/>
      <c r="DJ29" s="24"/>
      <c r="DK29" s="24"/>
      <c r="DL29" s="24"/>
      <c r="DM29" s="24"/>
      <c r="DN29" s="24"/>
      <c r="DO29" s="24"/>
      <c r="DP29" s="24"/>
      <c r="DQ29" s="24"/>
      <c r="DR29" s="24"/>
      <c r="DS29" s="24"/>
      <c r="DT29" s="24"/>
      <c r="DU29" s="24"/>
      <c r="DV29" s="24"/>
      <c r="DW29" s="24"/>
      <c r="DX29" s="24"/>
      <c r="DY29" s="24"/>
      <c r="DZ29" s="24"/>
      <c r="EA29" s="24"/>
      <c r="EB29" s="24"/>
      <c r="EC29" s="24"/>
      <c r="ED29" s="24"/>
    </row>
    <row r="30" spans="1:134" ht="18" customHeight="1" x14ac:dyDescent="0.3">
      <c r="A30" s="100"/>
      <c r="B30" s="219" t="s">
        <v>53</v>
      </c>
      <c r="C30" s="219"/>
      <c r="D30" s="219"/>
      <c r="E30" s="269"/>
      <c r="F30" s="279">
        <f>BF9</f>
        <v>0</v>
      </c>
      <c r="G30" s="280"/>
      <c r="H30" s="11"/>
      <c r="I30" s="55"/>
      <c r="J30" s="110"/>
      <c r="K30" s="17"/>
      <c r="L30" s="17"/>
      <c r="M30" s="17"/>
      <c r="N30" s="17"/>
      <c r="O30" s="111"/>
      <c r="P30" s="112"/>
      <c r="Q30" s="112"/>
      <c r="R30" s="113"/>
      <c r="S30" s="17"/>
      <c r="T30" s="235">
        <f>F30-O24</f>
        <v>0</v>
      </c>
      <c r="U30" s="236"/>
      <c r="V30" s="90" t="s">
        <v>54</v>
      </c>
      <c r="W30" s="17"/>
      <c r="X30" s="37"/>
      <c r="Y30" s="114">
        <f>BF67</f>
        <v>0</v>
      </c>
      <c r="Z30" s="107"/>
      <c r="AA30" s="115"/>
      <c r="AB30" s="115"/>
      <c r="AC30" s="281" t="s">
        <v>55</v>
      </c>
      <c r="AD30" s="226"/>
      <c r="AE30" s="226"/>
      <c r="AF30" s="226"/>
      <c r="AG30" s="282"/>
      <c r="AH30" s="17"/>
      <c r="AI30" s="17"/>
      <c r="AJ30" s="17"/>
      <c r="AK30" s="17"/>
      <c r="AL30" s="17"/>
      <c r="AM30" s="200">
        <f>BF43</f>
        <v>0</v>
      </c>
      <c r="AN30" s="201"/>
      <c r="AO30" s="89"/>
      <c r="AP30" s="89"/>
      <c r="AQ30" s="17"/>
      <c r="AR30" s="17"/>
      <c r="AS30" s="16"/>
      <c r="AT30" s="16"/>
      <c r="AU30" s="16"/>
      <c r="AV30" s="16"/>
      <c r="AW30" s="16"/>
      <c r="AX30" s="16"/>
      <c r="AY30" s="16"/>
      <c r="AZ30" s="16"/>
      <c r="BB30" s="24"/>
      <c r="BC30" s="27"/>
      <c r="BD30" s="27"/>
      <c r="BE30" s="28"/>
      <c r="BF30" s="24"/>
      <c r="BG30" s="29"/>
      <c r="BH30" s="30"/>
      <c r="BI30" s="116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L30" s="24"/>
      <c r="CM30" s="24"/>
      <c r="CN30" s="32"/>
      <c r="CO30" s="108"/>
      <c r="CP30" s="108"/>
      <c r="CQ30" s="109"/>
      <c r="CS30" s="29"/>
      <c r="CT30" s="87"/>
      <c r="CZ30" s="24"/>
      <c r="DB30" s="24"/>
      <c r="DC30" s="24"/>
      <c r="DD30" s="24"/>
      <c r="DE30" s="24"/>
      <c r="DF30" s="24"/>
      <c r="DG30" s="24"/>
      <c r="DH30" s="24"/>
      <c r="DI30" s="24"/>
      <c r="DJ30" s="24"/>
      <c r="DK30" s="24"/>
      <c r="DL30" s="24"/>
      <c r="DM30" s="24"/>
      <c r="DN30" s="24"/>
      <c r="DO30" s="24"/>
      <c r="DP30" s="24"/>
      <c r="DQ30" s="24"/>
      <c r="DR30" s="24"/>
      <c r="DS30" s="24"/>
      <c r="DT30" s="24"/>
      <c r="DU30" s="24"/>
      <c r="DV30" s="24"/>
      <c r="DW30" s="32"/>
      <c r="DX30" s="24"/>
      <c r="DY30" s="24"/>
      <c r="DZ30" s="24"/>
      <c r="EA30" s="32"/>
      <c r="ED30" s="32"/>
    </row>
    <row r="31" spans="1:134" ht="18" customHeight="1" x14ac:dyDescent="0.3">
      <c r="A31" s="100"/>
      <c r="B31" s="100"/>
      <c r="C31" s="100"/>
      <c r="D31" s="100"/>
      <c r="E31" s="100"/>
      <c r="F31" s="48"/>
      <c r="G31" s="48"/>
      <c r="H31" s="48"/>
      <c r="I31" s="48"/>
      <c r="J31" s="48"/>
      <c r="K31" s="17"/>
      <c r="L31" s="17"/>
      <c r="M31" s="17"/>
      <c r="N31" s="17"/>
      <c r="O31" s="111"/>
      <c r="P31" s="36"/>
      <c r="Q31" s="36"/>
      <c r="R31" s="36"/>
      <c r="S31" s="36"/>
      <c r="T31" s="36"/>
      <c r="U31" s="17"/>
      <c r="V31" s="91"/>
      <c r="W31" s="37"/>
      <c r="X31" s="16"/>
      <c r="Y31" s="75"/>
      <c r="Z31" s="75"/>
      <c r="AA31" s="115"/>
      <c r="AB31" s="115"/>
      <c r="AC31" s="283"/>
      <c r="AD31" s="284"/>
      <c r="AE31" s="284"/>
      <c r="AF31" s="284"/>
      <c r="AG31" s="282"/>
      <c r="AH31" s="17"/>
      <c r="AI31" s="17"/>
      <c r="AJ31" s="17"/>
      <c r="AK31" s="17"/>
      <c r="AL31" s="17"/>
      <c r="AM31" s="249" t="s">
        <v>56</v>
      </c>
      <c r="AN31" s="249"/>
      <c r="AO31" s="37"/>
      <c r="AP31" s="37"/>
      <c r="AQ31" s="17"/>
      <c r="AR31" s="17"/>
      <c r="AS31" s="16"/>
      <c r="AT31" s="16"/>
      <c r="AU31" s="16"/>
      <c r="AV31" s="16"/>
      <c r="AW31" s="16"/>
      <c r="AX31" s="16"/>
      <c r="AY31" s="16"/>
      <c r="AZ31" s="16"/>
      <c r="BB31" s="24"/>
      <c r="BC31" s="27"/>
      <c r="BD31" s="27"/>
      <c r="BE31" s="28"/>
      <c r="BF31" s="24"/>
      <c r="BG31" s="29"/>
      <c r="BH31" s="30"/>
      <c r="BI31" s="31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32"/>
      <c r="CK31" s="24"/>
      <c r="CL31" s="24"/>
      <c r="CM31" s="24"/>
      <c r="CN31" s="32"/>
      <c r="CQ31" s="32"/>
      <c r="CS31" s="29"/>
      <c r="CT31" s="87"/>
      <c r="CV31" s="32"/>
      <c r="CZ31" s="24"/>
      <c r="DB31" s="24"/>
      <c r="DC31" s="24"/>
      <c r="DD31" s="24"/>
      <c r="DE31" s="24"/>
      <c r="DF31" s="24"/>
      <c r="DG31" s="24"/>
      <c r="DH31" s="24"/>
      <c r="DI31" s="24"/>
      <c r="DJ31" s="24"/>
      <c r="DK31" s="24"/>
      <c r="DL31" s="24"/>
      <c r="DM31" s="24"/>
      <c r="DN31" s="24"/>
      <c r="DO31" s="24"/>
      <c r="DP31" s="24"/>
      <c r="DQ31" s="24"/>
      <c r="DR31" s="24"/>
      <c r="DS31" s="24"/>
      <c r="DT31" s="24"/>
      <c r="DU31" s="24"/>
      <c r="DV31" s="24"/>
      <c r="DW31" s="32"/>
      <c r="DX31" s="24"/>
      <c r="DY31" s="24"/>
      <c r="DZ31" s="24"/>
      <c r="EA31" s="32"/>
      <c r="ED31" s="32"/>
    </row>
    <row r="32" spans="1:134" ht="18" customHeight="1" thickBot="1" x14ac:dyDescent="0.35">
      <c r="A32" s="100"/>
      <c r="B32" s="100"/>
      <c r="C32" s="100"/>
      <c r="D32" s="100"/>
      <c r="E32" s="100"/>
      <c r="F32" s="16"/>
      <c r="G32" s="16"/>
      <c r="H32" s="37"/>
      <c r="I32" s="83"/>
      <c r="J32" s="37"/>
      <c r="K32" s="17"/>
      <c r="L32" s="17"/>
      <c r="M32" s="17"/>
      <c r="N32" s="17"/>
      <c r="O32" s="112"/>
      <c r="P32" s="112"/>
      <c r="Q32" s="112"/>
      <c r="R32" s="16"/>
      <c r="S32" s="17"/>
      <c r="T32" s="17"/>
      <c r="U32" s="17"/>
      <c r="V32" s="76"/>
      <c r="W32" s="17"/>
      <c r="X32" s="17"/>
      <c r="Y32" s="16"/>
      <c r="Z32" s="16"/>
      <c r="AA32" s="17"/>
      <c r="AB32" s="17"/>
      <c r="AC32" s="285"/>
      <c r="AD32" s="286"/>
      <c r="AE32" s="286"/>
      <c r="AF32" s="286"/>
      <c r="AG32" s="286"/>
      <c r="AH32" s="204">
        <f>Y30-AG29-AM30</f>
        <v>0</v>
      </c>
      <c r="AI32" s="205"/>
      <c r="AJ32" s="273" t="s">
        <v>57</v>
      </c>
      <c r="AK32" s="274"/>
      <c r="AL32" s="17"/>
      <c r="AM32" s="17"/>
      <c r="AN32" s="17"/>
      <c r="AO32" s="37"/>
      <c r="AP32" s="37"/>
      <c r="AQ32" s="17"/>
      <c r="AR32" s="17"/>
      <c r="AS32" s="16"/>
      <c r="AT32" s="16"/>
      <c r="AU32" s="16"/>
      <c r="AV32" s="16"/>
      <c r="AW32" s="16"/>
      <c r="AX32" s="16"/>
      <c r="AY32" s="16"/>
      <c r="AZ32" s="16"/>
      <c r="BB32" s="24"/>
      <c r="BC32" s="27"/>
      <c r="BD32" s="27"/>
      <c r="BE32" s="28"/>
      <c r="BF32" s="24"/>
      <c r="BG32" s="29"/>
      <c r="BH32" s="68"/>
      <c r="BI32" s="31"/>
      <c r="BJ32" s="24"/>
      <c r="BK32" s="24"/>
      <c r="BL32" s="24"/>
      <c r="BM32" s="117"/>
      <c r="BN32" s="117"/>
      <c r="BO32" s="105"/>
      <c r="BP32" s="117"/>
      <c r="BQ32" s="117"/>
      <c r="BR32" s="105"/>
      <c r="BS32" s="105"/>
      <c r="BT32" s="117"/>
      <c r="BU32" s="117"/>
      <c r="BV32" s="105"/>
      <c r="BW32" s="63"/>
      <c r="BX32" s="105"/>
      <c r="BY32" s="105"/>
      <c r="BZ32" s="105"/>
      <c r="CA32" s="117"/>
      <c r="CB32" s="105"/>
      <c r="CC32" s="117"/>
      <c r="CD32" s="105"/>
      <c r="CE32" s="105"/>
      <c r="CF32" s="117"/>
      <c r="CG32" s="105"/>
      <c r="CH32" s="105"/>
      <c r="CI32" s="105"/>
      <c r="CJ32" s="63"/>
      <c r="CK32" s="105"/>
      <c r="CL32" s="105"/>
      <c r="CM32" s="105"/>
      <c r="CN32" s="105"/>
      <c r="CO32" s="63"/>
      <c r="CP32" s="105"/>
      <c r="CQ32" s="63"/>
      <c r="CR32" s="118"/>
      <c r="CS32" s="29"/>
      <c r="CT32" s="87"/>
      <c r="CV32" s="32"/>
    </row>
    <row r="33" spans="1:134" ht="18" customHeight="1" x14ac:dyDescent="0.3">
      <c r="A33" s="275" t="s">
        <v>58</v>
      </c>
      <c r="B33" s="275"/>
      <c r="C33" s="275"/>
      <c r="D33" s="275"/>
      <c r="E33" s="276"/>
      <c r="F33" s="200">
        <f>BF46</f>
        <v>0</v>
      </c>
      <c r="G33" s="201"/>
      <c r="H33" s="119"/>
      <c r="I33" s="120"/>
      <c r="J33" s="120"/>
      <c r="K33" s="17"/>
      <c r="L33" s="17"/>
      <c r="M33" s="17"/>
      <c r="N33" s="17"/>
      <c r="O33" s="112"/>
      <c r="P33" s="112"/>
      <c r="Q33" s="112"/>
      <c r="R33" s="16"/>
      <c r="S33" s="17"/>
      <c r="T33" s="270">
        <f>F33-O25</f>
        <v>0</v>
      </c>
      <c r="U33" s="271"/>
      <c r="V33" s="99" t="s">
        <v>59</v>
      </c>
      <c r="W33" s="17"/>
      <c r="X33" s="17"/>
      <c r="Z33" s="121"/>
      <c r="AA33" s="70"/>
      <c r="AB33" s="122"/>
      <c r="AC33" s="123"/>
      <c r="AD33" s="123"/>
      <c r="AE33" s="123"/>
      <c r="AF33" s="123"/>
      <c r="AG33" s="70"/>
      <c r="AH33" s="58"/>
      <c r="AI33" s="58"/>
      <c r="AJ33" s="70"/>
      <c r="AK33" s="70"/>
      <c r="AL33" s="70"/>
      <c r="AM33" s="17"/>
      <c r="AN33" s="17"/>
      <c r="AO33" s="37"/>
      <c r="AP33" s="37"/>
      <c r="AQ33" s="17"/>
      <c r="AR33" s="17"/>
      <c r="AS33" s="16"/>
      <c r="AT33" s="16"/>
      <c r="AU33" s="16"/>
      <c r="AV33" s="16"/>
      <c r="AW33" s="16"/>
      <c r="AX33" s="16"/>
      <c r="AY33" s="16"/>
      <c r="AZ33" s="16"/>
      <c r="BB33" s="24"/>
      <c r="BC33" s="27"/>
      <c r="BD33" s="27"/>
      <c r="BE33" s="28"/>
      <c r="BF33" s="24"/>
      <c r="BG33" s="29"/>
      <c r="BH33" s="30"/>
      <c r="BI33" s="31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  <c r="CK33" s="24"/>
      <c r="CL33" s="24"/>
      <c r="CM33" s="24"/>
      <c r="CN33" s="24"/>
      <c r="CO33" s="24"/>
      <c r="CP33" s="24"/>
      <c r="CQ33" s="24"/>
      <c r="CS33" s="29"/>
      <c r="CT33" s="87"/>
      <c r="CV33" s="32"/>
    </row>
    <row r="34" spans="1:134" ht="18" customHeight="1" x14ac:dyDescent="0.4">
      <c r="A34" s="100"/>
      <c r="B34" s="100"/>
      <c r="C34" s="100"/>
      <c r="D34" s="100"/>
      <c r="E34" s="100"/>
      <c r="F34" s="16"/>
      <c r="G34" s="16"/>
      <c r="H34" s="83"/>
      <c r="I34" s="83"/>
      <c r="J34" s="83"/>
      <c r="K34" s="17"/>
      <c r="L34" s="17"/>
      <c r="M34" s="17"/>
      <c r="N34" s="17"/>
      <c r="O34" s="16"/>
      <c r="P34" s="112"/>
      <c r="Q34" s="112"/>
      <c r="R34" s="124"/>
      <c r="S34" s="17"/>
      <c r="T34" s="17"/>
      <c r="U34" s="17"/>
      <c r="V34" s="125"/>
      <c r="W34" s="17"/>
      <c r="X34" s="17"/>
      <c r="Y34" s="17"/>
      <c r="Z34" s="17"/>
      <c r="AA34" s="70"/>
      <c r="AB34" s="70"/>
      <c r="AC34" s="70"/>
      <c r="AD34" s="289">
        <f>BF60</f>
        <v>0</v>
      </c>
      <c r="AE34" s="290"/>
      <c r="AF34" s="306" t="s">
        <v>80</v>
      </c>
      <c r="AG34" s="307"/>
      <c r="AH34" s="29"/>
      <c r="AI34" s="70"/>
      <c r="AJ34" s="70"/>
      <c r="AK34" s="70"/>
      <c r="AL34" s="70"/>
      <c r="AM34" s="17"/>
      <c r="AN34" s="17"/>
      <c r="AO34" s="37"/>
      <c r="AP34" s="37"/>
      <c r="AQ34" s="17"/>
      <c r="AR34" s="17"/>
      <c r="AS34" s="16"/>
      <c r="AT34" s="16"/>
      <c r="AU34" s="16"/>
      <c r="AV34" s="16"/>
      <c r="AW34" s="16"/>
      <c r="AX34" s="16"/>
      <c r="AY34" s="16"/>
      <c r="AZ34" s="16"/>
      <c r="BB34" s="24"/>
      <c r="BC34" s="27"/>
      <c r="BD34" s="27"/>
      <c r="BE34" s="28"/>
      <c r="BF34" s="24"/>
      <c r="BG34" s="29"/>
      <c r="BH34" s="30"/>
      <c r="BI34" s="31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32"/>
      <c r="CK34" s="24"/>
      <c r="CL34" s="24"/>
      <c r="CM34" s="24"/>
      <c r="CN34" s="32"/>
      <c r="CQ34" s="32"/>
      <c r="CS34" s="29"/>
      <c r="CT34" s="87"/>
      <c r="CV34" s="32"/>
    </row>
    <row r="35" spans="1:134" ht="18" customHeight="1" x14ac:dyDescent="0.3">
      <c r="A35" s="275" t="s">
        <v>60</v>
      </c>
      <c r="B35" s="275"/>
      <c r="C35" s="275"/>
      <c r="D35" s="275"/>
      <c r="E35" s="276"/>
      <c r="F35" s="279">
        <f>BF49</f>
        <v>0</v>
      </c>
      <c r="G35" s="280"/>
      <c r="H35" s="291"/>
      <c r="I35" s="291"/>
      <c r="J35" s="291"/>
      <c r="K35" s="17"/>
      <c r="L35" s="17"/>
      <c r="M35" s="17"/>
      <c r="N35" s="17"/>
      <c r="O35" s="17"/>
      <c r="P35" s="17"/>
      <c r="Q35" s="17"/>
      <c r="R35" s="17"/>
      <c r="S35" s="17"/>
      <c r="T35" s="270">
        <f>F35+F40-O26-F44</f>
        <v>0</v>
      </c>
      <c r="U35" s="271"/>
      <c r="V35" s="99" t="s">
        <v>61</v>
      </c>
      <c r="W35" s="17"/>
      <c r="X35" s="17"/>
      <c r="Y35" s="17"/>
      <c r="Z35" s="17"/>
      <c r="AA35" s="70"/>
      <c r="AB35" s="308">
        <f>BF62</f>
        <v>0</v>
      </c>
      <c r="AC35" s="309"/>
      <c r="AD35" s="126"/>
      <c r="AE35" s="127"/>
      <c r="AF35" s="29"/>
      <c r="AG35" s="128" t="s">
        <v>62</v>
      </c>
      <c r="AH35" s="128"/>
      <c r="AI35" s="129"/>
      <c r="AJ35" s="129"/>
      <c r="AK35" s="70"/>
      <c r="AL35" s="70"/>
      <c r="AM35" s="17" t="s">
        <v>33</v>
      </c>
      <c r="AN35" s="17"/>
      <c r="AO35" s="37"/>
      <c r="AP35" s="37"/>
      <c r="AQ35" s="17"/>
      <c r="AR35" s="17"/>
      <c r="AS35" s="16"/>
      <c r="AT35" s="16"/>
      <c r="AU35" s="16"/>
      <c r="AV35" s="16"/>
      <c r="AW35" s="16"/>
      <c r="AX35" s="16"/>
      <c r="AY35" s="16"/>
      <c r="AZ35" s="16"/>
      <c r="BB35" s="24"/>
      <c r="BC35" s="27"/>
      <c r="BD35" s="27"/>
      <c r="BE35" s="28"/>
      <c r="BF35" s="24"/>
      <c r="BG35" s="29"/>
      <c r="BH35" s="68"/>
      <c r="BI35" s="130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  <c r="CK35" s="24"/>
      <c r="CL35" s="24"/>
      <c r="CM35" s="24"/>
      <c r="CN35" s="24"/>
      <c r="CO35" s="24"/>
      <c r="CP35" s="24"/>
      <c r="CQ35" s="24"/>
      <c r="CS35" s="29"/>
      <c r="CT35" s="87"/>
      <c r="CV35" s="32"/>
    </row>
    <row r="36" spans="1:134" ht="18" customHeight="1" thickBot="1" x14ac:dyDescent="0.35">
      <c r="A36" s="16"/>
      <c r="B36" s="16"/>
      <c r="C36" s="16"/>
      <c r="D36" s="16"/>
      <c r="E36" s="16"/>
      <c r="F36" s="48"/>
      <c r="G36" s="48"/>
      <c r="H36" s="48"/>
      <c r="I36" s="48"/>
      <c r="J36" s="48"/>
      <c r="K36" s="17"/>
      <c r="L36" s="17"/>
      <c r="M36" s="17"/>
      <c r="N36" s="17"/>
      <c r="O36" s="17"/>
      <c r="P36" s="17"/>
      <c r="Q36" s="17"/>
      <c r="R36" s="17"/>
      <c r="S36" s="17"/>
      <c r="T36" s="16"/>
      <c r="U36" s="16"/>
      <c r="V36" s="91"/>
      <c r="W36" s="17"/>
      <c r="X36" s="17"/>
      <c r="Y36" s="17"/>
      <c r="Z36" s="17"/>
      <c r="AA36" s="70"/>
      <c r="AB36" s="58" t="s">
        <v>63</v>
      </c>
      <c r="AC36" s="107"/>
      <c r="AD36" s="131"/>
      <c r="AE36" s="107"/>
      <c r="AF36" s="70"/>
      <c r="AG36" s="292">
        <f>BF63</f>
        <v>0</v>
      </c>
      <c r="AH36" s="293"/>
      <c r="AI36" s="70"/>
      <c r="AJ36" s="70"/>
      <c r="AK36" s="70"/>
      <c r="AL36" s="70"/>
      <c r="AM36" s="16"/>
      <c r="AN36" s="16"/>
      <c r="AO36" s="89"/>
      <c r="AP36" s="89"/>
      <c r="AQ36" s="17"/>
      <c r="AR36" s="17"/>
      <c r="AS36" s="16"/>
      <c r="AT36" s="16"/>
      <c r="AU36" s="16"/>
      <c r="AV36" s="16"/>
      <c r="AW36" s="16"/>
      <c r="AX36" s="16"/>
      <c r="AY36" s="16"/>
      <c r="AZ36" s="16"/>
      <c r="BB36" s="24"/>
      <c r="BC36" s="132"/>
      <c r="BD36" s="132"/>
      <c r="BE36" s="133"/>
      <c r="BF36" s="24"/>
      <c r="BG36" s="134"/>
      <c r="BH36" s="68"/>
      <c r="BI36" s="31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  <c r="CK36" s="24"/>
      <c r="CL36" s="24"/>
      <c r="CM36" s="24"/>
      <c r="CN36" s="24"/>
      <c r="CO36" s="24"/>
      <c r="CP36" s="24"/>
      <c r="CQ36" s="24"/>
      <c r="CS36" s="134"/>
      <c r="CT36" s="87"/>
      <c r="CV36" s="32"/>
    </row>
    <row r="37" spans="1:134" ht="18" customHeight="1" x14ac:dyDescent="0.3">
      <c r="A37" s="16"/>
      <c r="B37" s="16"/>
      <c r="C37" s="16"/>
      <c r="D37" s="16"/>
      <c r="E37" s="16"/>
      <c r="F37" s="135"/>
      <c r="G37" s="16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270" t="s">
        <v>17</v>
      </c>
      <c r="U37" s="271"/>
      <c r="V37" s="11" t="s">
        <v>64</v>
      </c>
      <c r="W37" s="17"/>
      <c r="X37" s="17"/>
      <c r="Y37" s="16"/>
      <c r="Z37" s="16"/>
      <c r="AA37" s="136"/>
      <c r="AB37" s="137"/>
      <c r="AC37" s="297" t="s">
        <v>65</v>
      </c>
      <c r="AD37" s="298"/>
      <c r="AE37" s="298"/>
      <c r="AF37" s="298"/>
      <c r="AG37" s="299"/>
      <c r="AH37" s="70"/>
      <c r="AI37" s="70"/>
      <c r="AJ37" s="70"/>
      <c r="AK37" s="70"/>
      <c r="AL37" s="70"/>
      <c r="AM37" s="200">
        <f>BF44</f>
        <v>0</v>
      </c>
      <c r="AN37" s="201"/>
      <c r="AO37" s="37"/>
      <c r="AP37" s="37"/>
      <c r="AQ37" s="17"/>
      <c r="AR37" s="17"/>
      <c r="AS37" s="16"/>
      <c r="AT37" s="16"/>
      <c r="AU37" s="16"/>
      <c r="AV37" s="16"/>
      <c r="AW37" s="16"/>
      <c r="AX37" s="16"/>
      <c r="AY37" s="16"/>
      <c r="AZ37" s="16"/>
      <c r="BB37" s="24"/>
      <c r="BC37" s="132"/>
      <c r="BD37" s="132"/>
      <c r="BE37" s="133"/>
      <c r="BF37" s="24"/>
      <c r="BG37" s="134"/>
      <c r="BH37" s="68"/>
      <c r="BI37" s="31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  <c r="CK37" s="24"/>
      <c r="CL37" s="24"/>
      <c r="CM37" s="24"/>
      <c r="CN37" s="24"/>
      <c r="CO37" s="24"/>
      <c r="CP37" s="24"/>
      <c r="CQ37" s="24"/>
      <c r="CS37" s="134"/>
      <c r="CT37" s="87"/>
      <c r="CV37" s="32"/>
      <c r="CZ37" s="24"/>
      <c r="DA37" s="24"/>
      <c r="DB37" s="24"/>
      <c r="DC37" s="24"/>
      <c r="DD37" s="24"/>
      <c r="DE37" s="24"/>
      <c r="DF37" s="24"/>
      <c r="DG37" s="24"/>
      <c r="DH37" s="24"/>
      <c r="DI37" s="24"/>
      <c r="DJ37" s="24"/>
      <c r="DK37" s="24"/>
      <c r="DL37" s="24"/>
      <c r="DM37" s="24"/>
      <c r="DN37" s="24"/>
      <c r="DO37" s="24"/>
      <c r="DP37" s="24"/>
      <c r="DQ37" s="24"/>
      <c r="DR37" s="24"/>
      <c r="DS37" s="24"/>
      <c r="DT37" s="24"/>
      <c r="DU37" s="24"/>
      <c r="DV37" s="24"/>
      <c r="DW37" s="32"/>
      <c r="DX37" s="24"/>
      <c r="DY37" s="24"/>
      <c r="DZ37" s="24"/>
      <c r="EA37" s="32"/>
      <c r="ED37" s="32"/>
    </row>
    <row r="38" spans="1:134" ht="18" customHeight="1" x14ac:dyDescent="0.3">
      <c r="A38" s="16"/>
      <c r="B38" s="16"/>
      <c r="C38" s="16"/>
      <c r="D38" s="16"/>
      <c r="E38" s="16"/>
      <c r="F38" s="16"/>
      <c r="G38" s="16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38"/>
      <c r="X38" s="107" t="s">
        <v>66</v>
      </c>
      <c r="Y38" s="107" t="s">
        <v>67</v>
      </c>
      <c r="Z38" s="107"/>
      <c r="AA38" s="136"/>
      <c r="AB38" s="136"/>
      <c r="AC38" s="300"/>
      <c r="AD38" s="301"/>
      <c r="AE38" s="301"/>
      <c r="AF38" s="301"/>
      <c r="AG38" s="299"/>
      <c r="AH38" s="70"/>
      <c r="AI38" s="70"/>
      <c r="AJ38" s="70"/>
      <c r="AK38" s="70"/>
      <c r="AL38" s="70"/>
      <c r="AM38" s="249" t="s">
        <v>68</v>
      </c>
      <c r="AN38" s="249"/>
      <c r="AO38" s="37"/>
      <c r="AP38" s="37"/>
      <c r="AQ38" s="17"/>
      <c r="AR38" s="17"/>
      <c r="AS38" s="16"/>
      <c r="AT38" s="16"/>
      <c r="AU38" s="16"/>
      <c r="AV38" s="16"/>
      <c r="AW38" s="16"/>
      <c r="AX38" s="16"/>
      <c r="AY38" s="16"/>
      <c r="AZ38" s="16"/>
      <c r="BB38" s="24"/>
      <c r="BC38" s="27"/>
      <c r="BD38" s="27"/>
      <c r="BE38" s="28"/>
      <c r="BF38" s="24"/>
      <c r="BG38" s="29"/>
      <c r="BH38" s="68"/>
      <c r="BI38" s="31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  <c r="CK38" s="24"/>
      <c r="CL38" s="24"/>
      <c r="CM38" s="24"/>
      <c r="CN38" s="24"/>
      <c r="CO38" s="24"/>
      <c r="CP38" s="24"/>
      <c r="CQ38" s="24"/>
      <c r="CS38" s="29"/>
      <c r="CT38" s="87"/>
      <c r="CV38" s="32"/>
      <c r="CZ38" s="24"/>
      <c r="DA38" s="24"/>
      <c r="DB38" s="24"/>
      <c r="DC38" s="24"/>
      <c r="DD38" s="24"/>
      <c r="DE38" s="24"/>
      <c r="DF38" s="24"/>
      <c r="DG38" s="24"/>
      <c r="DH38" s="24"/>
      <c r="DI38" s="24"/>
      <c r="DJ38" s="24"/>
      <c r="DK38" s="24"/>
      <c r="DL38" s="24"/>
      <c r="DM38" s="24"/>
      <c r="DN38" s="24"/>
      <c r="DO38" s="24"/>
      <c r="DP38" s="24"/>
      <c r="DQ38" s="24"/>
      <c r="DR38" s="24"/>
      <c r="DS38" s="24"/>
      <c r="DT38" s="24"/>
      <c r="DU38" s="24"/>
      <c r="DV38" s="24"/>
      <c r="DW38" s="24"/>
      <c r="DX38" s="24"/>
      <c r="DY38" s="24"/>
      <c r="DZ38" s="24"/>
      <c r="EA38" s="24"/>
      <c r="EB38" s="24"/>
      <c r="EC38" s="24"/>
      <c r="ED38" s="24"/>
    </row>
    <row r="39" spans="1:134" ht="18" customHeight="1" thickBot="1" x14ac:dyDescent="0.35">
      <c r="A39" s="16"/>
      <c r="B39" s="16"/>
      <c r="C39" s="16"/>
      <c r="D39" s="16"/>
      <c r="E39" s="16"/>
      <c r="F39" s="16"/>
      <c r="G39" s="16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39" t="s">
        <v>17</v>
      </c>
      <c r="Y39" s="139">
        <f>BF68</f>
        <v>0</v>
      </c>
      <c r="Z39" s="107"/>
      <c r="AA39" s="70"/>
      <c r="AB39" s="70"/>
      <c r="AC39" s="228"/>
      <c r="AD39" s="302"/>
      <c r="AE39" s="302"/>
      <c r="AF39" s="302"/>
      <c r="AG39" s="229"/>
      <c r="AH39" s="70"/>
      <c r="AI39" s="70"/>
      <c r="AJ39" s="140"/>
      <c r="AK39" s="140"/>
      <c r="AL39" s="140"/>
      <c r="AM39" s="37"/>
      <c r="AN39" s="37"/>
      <c r="AO39" s="37"/>
      <c r="AP39" s="37"/>
      <c r="AQ39" s="37"/>
      <c r="AR39" s="37"/>
      <c r="AS39" s="16"/>
      <c r="AT39" s="16"/>
      <c r="AU39" s="16"/>
      <c r="AV39" s="16"/>
      <c r="AW39" s="16"/>
      <c r="AX39" s="16"/>
      <c r="AY39" s="16"/>
      <c r="AZ39" s="16"/>
      <c r="BB39" s="24"/>
      <c r="BC39" s="42"/>
      <c r="BD39" s="42"/>
      <c r="BE39" s="43"/>
      <c r="BF39" s="24"/>
      <c r="BG39" s="44"/>
      <c r="BH39" s="30"/>
      <c r="BI39" s="31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32"/>
      <c r="CJ39" s="24"/>
      <c r="CK39" s="24"/>
      <c r="CM39" s="24"/>
      <c r="CN39" s="32"/>
      <c r="CQ39" s="32"/>
      <c r="CS39" s="44"/>
      <c r="CT39" s="87"/>
      <c r="CV39" s="32"/>
      <c r="CZ39" s="24"/>
      <c r="DA39" s="24"/>
      <c r="DB39" s="24"/>
      <c r="DC39" s="24"/>
      <c r="DD39" s="24"/>
      <c r="DE39" s="24"/>
      <c r="DF39" s="24"/>
      <c r="DG39" s="24"/>
      <c r="DH39" s="24"/>
      <c r="DI39" s="24"/>
      <c r="DJ39" s="24"/>
      <c r="DK39" s="24"/>
      <c r="DL39" s="24"/>
      <c r="DM39" s="24"/>
      <c r="DN39" s="24"/>
      <c r="DO39" s="24"/>
      <c r="DP39" s="24"/>
      <c r="DQ39" s="24"/>
      <c r="DR39" s="24"/>
      <c r="DS39" s="24"/>
      <c r="DT39" s="24"/>
      <c r="DU39" s="24"/>
      <c r="DV39" s="24"/>
      <c r="DW39" s="32"/>
      <c r="DX39" s="24"/>
      <c r="DY39" s="24"/>
      <c r="DZ39" s="24"/>
      <c r="EA39" s="32"/>
      <c r="ED39" s="32"/>
    </row>
    <row r="40" spans="1:134" ht="18" customHeight="1" x14ac:dyDescent="0.35">
      <c r="A40" s="16"/>
      <c r="B40" s="16"/>
      <c r="C40" s="16"/>
      <c r="D40" s="16"/>
      <c r="E40" s="16"/>
      <c r="F40" s="200">
        <f>BF26</f>
        <v>0</v>
      </c>
      <c r="G40" s="201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Y40" s="16"/>
      <c r="Z40" s="16"/>
      <c r="AA40" s="70"/>
      <c r="AB40" s="70"/>
      <c r="AC40" s="70"/>
      <c r="AD40" s="141"/>
      <c r="AE40" s="141"/>
      <c r="AF40" s="70"/>
      <c r="AG40" s="126"/>
      <c r="AH40" s="126"/>
      <c r="AI40" s="126"/>
      <c r="AJ40" s="287" t="s">
        <v>17</v>
      </c>
      <c r="AK40" s="288"/>
      <c r="AL40" s="140"/>
      <c r="AM40" s="37"/>
      <c r="AN40" s="37"/>
      <c r="AO40" s="37"/>
      <c r="AP40" s="37"/>
      <c r="AQ40" s="37"/>
      <c r="AR40" s="37"/>
      <c r="AS40" s="16"/>
      <c r="AT40" s="16"/>
      <c r="AU40" s="16"/>
      <c r="AV40" s="16"/>
      <c r="AW40" s="16"/>
      <c r="AX40" s="16"/>
      <c r="AY40" s="16"/>
      <c r="AZ40" s="16"/>
      <c r="BB40" s="24"/>
      <c r="BC40" s="42"/>
      <c r="BD40" s="42"/>
      <c r="BE40" s="43"/>
      <c r="BF40" s="24"/>
      <c r="BG40" s="44"/>
      <c r="BH40" s="30"/>
      <c r="BI40" s="31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32"/>
      <c r="CJ40" s="24"/>
      <c r="CK40" s="24"/>
      <c r="CM40" s="24"/>
      <c r="CN40" s="32"/>
      <c r="CQ40" s="32"/>
      <c r="CS40" s="44"/>
      <c r="CT40" s="87"/>
      <c r="CV40" s="32"/>
      <c r="CZ40" s="32"/>
      <c r="DA40" s="32"/>
      <c r="DB40" s="32"/>
      <c r="DC40" s="32"/>
      <c r="DD40" s="32"/>
      <c r="DE40" s="32"/>
      <c r="DF40" s="32"/>
      <c r="DG40" s="32"/>
      <c r="DH40" s="32"/>
      <c r="DI40" s="32"/>
      <c r="DJ40" s="32"/>
      <c r="DK40" s="32"/>
      <c r="DL40" s="32"/>
      <c r="DM40" s="32"/>
      <c r="DN40" s="32"/>
      <c r="DO40" s="32"/>
      <c r="DP40" s="32"/>
      <c r="DQ40" s="32"/>
      <c r="DR40" s="32"/>
      <c r="DS40" s="32"/>
      <c r="DT40" s="32"/>
      <c r="DU40" s="32"/>
      <c r="DV40" s="24"/>
      <c r="DW40" s="32"/>
      <c r="DX40" s="24"/>
      <c r="DY40" s="24"/>
      <c r="DZ40" s="24"/>
      <c r="EA40" s="32"/>
      <c r="ED40" s="32"/>
    </row>
    <row r="41" spans="1:134" ht="18" customHeight="1" x14ac:dyDescent="0.4">
      <c r="A41" s="16"/>
      <c r="B41" s="16"/>
      <c r="C41" s="16"/>
      <c r="D41" s="16"/>
      <c r="E41" s="16"/>
      <c r="F41" s="58" t="s">
        <v>69</v>
      </c>
      <c r="G41" s="142"/>
      <c r="H41" s="142"/>
      <c r="I41" s="142"/>
      <c r="J41" s="17"/>
      <c r="K41" s="16"/>
      <c r="L41" s="16"/>
      <c r="M41" s="16"/>
      <c r="N41" s="16"/>
      <c r="O41" s="17"/>
      <c r="P41" s="17"/>
      <c r="Q41" s="17"/>
      <c r="R41" s="17"/>
      <c r="S41" s="17"/>
      <c r="T41" s="17"/>
      <c r="U41" s="17"/>
      <c r="V41" s="17"/>
      <c r="W41" s="139">
        <f>BF70</f>
        <v>0</v>
      </c>
      <c r="X41" s="128" t="s">
        <v>70</v>
      </c>
      <c r="Y41" s="143"/>
      <c r="Z41" s="143"/>
      <c r="AA41" s="141"/>
      <c r="AB41" s="141"/>
      <c r="AC41" s="141"/>
      <c r="AD41" s="126"/>
      <c r="AE41" s="126"/>
      <c r="AF41" s="141"/>
      <c r="AG41" s="292">
        <f>Y39-AG36-AM37</f>
        <v>0</v>
      </c>
      <c r="AH41" s="293"/>
      <c r="AI41" s="144"/>
      <c r="AJ41" s="58" t="s">
        <v>71</v>
      </c>
      <c r="AK41" s="70"/>
      <c r="AL41" s="70"/>
      <c r="AM41" s="17"/>
      <c r="AN41" s="37"/>
      <c r="AO41" s="37"/>
      <c r="AP41" s="37"/>
      <c r="AQ41" s="37"/>
      <c r="AR41" s="37"/>
      <c r="AS41" s="16"/>
      <c r="AT41" s="16"/>
      <c r="AU41" s="16"/>
      <c r="AV41" s="16"/>
      <c r="AW41" s="16"/>
      <c r="AX41" s="16"/>
      <c r="AY41" s="16"/>
      <c r="AZ41" s="16"/>
      <c r="BB41" s="24"/>
      <c r="BC41" s="42"/>
      <c r="BD41" s="42"/>
      <c r="BE41" s="43"/>
      <c r="BF41" s="24"/>
      <c r="BG41" s="44"/>
      <c r="BH41" s="30"/>
      <c r="BI41" s="31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32"/>
      <c r="CJ41" s="24"/>
      <c r="CK41" s="24"/>
      <c r="CM41" s="24"/>
      <c r="CN41" s="32"/>
      <c r="CQ41" s="32"/>
      <c r="CS41" s="44"/>
      <c r="CT41" s="87"/>
      <c r="CV41" s="32"/>
      <c r="CZ41" s="32"/>
      <c r="DA41" s="32"/>
      <c r="DB41" s="32"/>
      <c r="DC41" s="32"/>
      <c r="DD41" s="32"/>
      <c r="DE41" s="32"/>
      <c r="DF41" s="32"/>
      <c r="DG41" s="32"/>
      <c r="DH41" s="32"/>
      <c r="DI41" s="32"/>
      <c r="DJ41" s="32"/>
      <c r="DK41" s="32"/>
      <c r="DL41" s="32"/>
      <c r="DM41" s="32"/>
      <c r="DN41" s="32"/>
      <c r="DO41" s="32"/>
      <c r="DP41" s="32"/>
      <c r="DQ41" s="32"/>
      <c r="DR41" s="32"/>
      <c r="DS41" s="32"/>
      <c r="DT41" s="32"/>
      <c r="DU41" s="32"/>
      <c r="DV41" s="24"/>
      <c r="DW41" s="32"/>
      <c r="DX41" s="24"/>
      <c r="DY41" s="24"/>
      <c r="DZ41" s="24"/>
      <c r="EA41" s="32"/>
      <c r="ED41" s="32"/>
    </row>
    <row r="42" spans="1:134" ht="18" customHeight="1" x14ac:dyDescent="0.3">
      <c r="A42" s="16"/>
      <c r="B42" s="16"/>
      <c r="C42" s="16"/>
      <c r="D42" s="16"/>
      <c r="E42" s="16"/>
      <c r="F42" s="16"/>
      <c r="G42" s="16"/>
      <c r="H42" s="17"/>
      <c r="I42" s="17"/>
      <c r="J42" s="17"/>
      <c r="K42" s="16"/>
      <c r="L42" s="16"/>
      <c r="M42" s="16"/>
      <c r="N42" s="16"/>
      <c r="O42" s="17"/>
      <c r="P42" s="17"/>
      <c r="Q42" s="17"/>
      <c r="R42" s="17"/>
      <c r="S42" s="17"/>
      <c r="T42" s="17"/>
      <c r="U42" s="17"/>
      <c r="V42" s="17"/>
      <c r="W42" s="145" t="s">
        <v>72</v>
      </c>
      <c r="X42" s="17"/>
      <c r="Y42" s="16"/>
      <c r="Z42" s="16"/>
      <c r="AA42" s="70"/>
      <c r="AB42" s="70"/>
      <c r="AC42" s="70"/>
      <c r="AD42" s="126"/>
      <c r="AE42" s="126"/>
      <c r="AF42" s="70"/>
      <c r="AG42" s="294" t="s">
        <v>73</v>
      </c>
      <c r="AH42" s="294"/>
      <c r="AI42" s="70"/>
      <c r="AJ42" s="140"/>
      <c r="AK42" s="140"/>
      <c r="AL42" s="140"/>
      <c r="AM42" s="37"/>
      <c r="AN42" s="37"/>
      <c r="AO42" s="37"/>
      <c r="AP42" s="37"/>
      <c r="AQ42" s="37"/>
      <c r="AR42" s="37"/>
      <c r="AS42" s="16"/>
      <c r="AT42" s="16"/>
      <c r="AU42" s="16"/>
      <c r="AV42" s="16"/>
      <c r="AW42" s="16"/>
      <c r="AX42" s="16"/>
      <c r="AY42" s="16"/>
      <c r="AZ42" s="16"/>
      <c r="BB42" s="24"/>
      <c r="BC42" s="27"/>
      <c r="BD42" s="27"/>
      <c r="BE42" s="28"/>
      <c r="BF42" s="24"/>
      <c r="BG42" s="29"/>
      <c r="BH42" s="30"/>
      <c r="BI42" s="31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32"/>
      <c r="CJ42" s="24"/>
      <c r="CK42" s="24"/>
      <c r="CM42" s="24"/>
      <c r="CN42" s="32"/>
      <c r="CQ42" s="32"/>
      <c r="CS42" s="29"/>
      <c r="CT42" s="87"/>
      <c r="CV42" s="32"/>
    </row>
    <row r="43" spans="1:134" ht="18" customHeight="1" x14ac:dyDescent="0.35">
      <c r="A43" s="16"/>
      <c r="B43" s="16"/>
      <c r="C43" s="16"/>
      <c r="D43" s="16"/>
      <c r="E43" s="16"/>
      <c r="F43" s="249" t="s">
        <v>74</v>
      </c>
      <c r="G43" s="249"/>
      <c r="H43" s="249"/>
      <c r="I43" s="249"/>
      <c r="J43" s="142"/>
      <c r="K43" s="142"/>
      <c r="L43" s="16"/>
      <c r="M43" s="16"/>
      <c r="N43" s="16"/>
      <c r="O43" s="17"/>
      <c r="P43" s="17"/>
      <c r="Q43" s="17"/>
      <c r="R43" s="17"/>
      <c r="S43" s="17"/>
      <c r="T43" s="17"/>
      <c r="U43" s="17"/>
      <c r="V43" s="17"/>
      <c r="W43" s="17"/>
      <c r="X43" s="16"/>
      <c r="Y43" s="16"/>
      <c r="Z43" s="16"/>
      <c r="AA43" s="136"/>
      <c r="AB43" s="136"/>
      <c r="AC43" s="126"/>
      <c r="AD43" s="29"/>
      <c r="AE43" s="29"/>
      <c r="AF43" s="29"/>
      <c r="AG43" s="146" t="s">
        <v>75</v>
      </c>
      <c r="AH43" s="70"/>
      <c r="AI43" s="147"/>
      <c r="AJ43" s="147"/>
      <c r="AK43" s="147"/>
      <c r="AL43" s="147"/>
      <c r="AM43" s="36"/>
      <c r="AN43" s="37"/>
      <c r="AO43" s="37"/>
      <c r="AP43" s="37"/>
      <c r="AQ43" s="37"/>
      <c r="AR43" s="37"/>
      <c r="AS43" s="16"/>
      <c r="AT43" s="16"/>
      <c r="AU43" s="16"/>
      <c r="AV43" s="16"/>
      <c r="AW43" s="16"/>
      <c r="AX43" s="16"/>
      <c r="AY43" s="16"/>
      <c r="AZ43" s="16"/>
      <c r="BB43" s="24"/>
      <c r="BC43" s="27"/>
      <c r="BD43" s="27"/>
      <c r="BE43" s="28"/>
      <c r="BF43" s="24"/>
      <c r="BG43" s="29"/>
      <c r="BH43" s="30"/>
      <c r="BI43" s="31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32"/>
      <c r="CJ43" s="24"/>
      <c r="CK43" s="24"/>
      <c r="CM43" s="24"/>
      <c r="CN43" s="32"/>
      <c r="CQ43" s="32"/>
      <c r="CS43" s="29"/>
      <c r="CT43" s="87"/>
      <c r="CV43" s="32"/>
    </row>
    <row r="44" spans="1:134" ht="18" customHeight="1" thickBot="1" x14ac:dyDescent="0.35">
      <c r="A44" s="16"/>
      <c r="B44" s="16"/>
      <c r="C44" s="16"/>
      <c r="D44" s="16"/>
      <c r="E44" s="16"/>
      <c r="F44" s="200">
        <f>BF25</f>
        <v>0</v>
      </c>
      <c r="G44" s="201"/>
      <c r="H44" s="17"/>
      <c r="I44" s="17"/>
      <c r="J44" s="17"/>
      <c r="K44" s="16"/>
      <c r="L44" s="16"/>
      <c r="M44" s="16"/>
      <c r="N44" s="16"/>
      <c r="O44" s="17"/>
      <c r="P44" s="17"/>
      <c r="Q44" s="17"/>
      <c r="R44" s="17"/>
      <c r="S44" s="17"/>
      <c r="T44" s="17"/>
      <c r="U44" s="17"/>
      <c r="V44" s="17"/>
      <c r="W44" s="17"/>
      <c r="X44" s="16"/>
      <c r="Y44" s="16"/>
      <c r="Z44" s="16"/>
      <c r="AA44" s="136"/>
      <c r="AB44" s="136"/>
      <c r="AC44" s="126"/>
      <c r="AD44" s="70"/>
      <c r="AE44" s="29"/>
      <c r="AF44" s="29"/>
      <c r="AG44" s="295">
        <f>BF65</f>
        <v>0</v>
      </c>
      <c r="AH44" s="296"/>
      <c r="AI44" s="147"/>
      <c r="AJ44" s="147"/>
      <c r="AK44" s="147"/>
      <c r="AL44" s="147"/>
      <c r="AM44" s="36"/>
      <c r="AN44" s="37"/>
      <c r="AO44" s="37"/>
      <c r="AP44" s="37"/>
      <c r="AQ44" s="37"/>
      <c r="AR44" s="37"/>
      <c r="AS44" s="16"/>
      <c r="AT44" s="16"/>
      <c r="AU44" s="16"/>
      <c r="AV44" s="16"/>
      <c r="AW44" s="16"/>
      <c r="AX44" s="16"/>
      <c r="AY44" s="16"/>
      <c r="AZ44" s="16"/>
      <c r="BB44" s="24"/>
      <c r="BC44" s="27"/>
      <c r="BD44" s="27"/>
      <c r="BE44" s="28"/>
      <c r="BF44" s="24"/>
      <c r="BG44" s="29"/>
      <c r="BH44" s="30"/>
      <c r="BI44" s="31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/>
      <c r="CB44" s="24"/>
      <c r="CC44" s="24"/>
      <c r="CD44" s="24"/>
      <c r="CE44" s="24"/>
      <c r="CF44" s="24"/>
      <c r="CG44" s="24"/>
      <c r="CH44" s="24"/>
      <c r="CI44" s="32"/>
      <c r="CJ44" s="24"/>
      <c r="CK44" s="24"/>
      <c r="CM44" s="24"/>
      <c r="CN44" s="32"/>
      <c r="CQ44" s="32"/>
      <c r="CS44" s="29"/>
      <c r="CT44" s="87"/>
      <c r="CV44" s="32"/>
    </row>
    <row r="45" spans="1:134" ht="18" customHeight="1" x14ac:dyDescent="0.3">
      <c r="A45" s="16"/>
      <c r="B45" s="16"/>
      <c r="C45" s="16"/>
      <c r="D45" s="16"/>
      <c r="E45" s="16"/>
      <c r="F45" s="16"/>
      <c r="G45" s="16"/>
      <c r="H45" s="17"/>
      <c r="I45" s="17"/>
      <c r="J45" s="17"/>
      <c r="K45" s="16"/>
      <c r="L45" s="16"/>
      <c r="M45" s="16"/>
      <c r="N45" s="16"/>
      <c r="O45" s="17"/>
      <c r="P45" s="17"/>
      <c r="Q45" s="17"/>
      <c r="S45" s="17"/>
      <c r="T45" s="17"/>
      <c r="U45" s="17"/>
      <c r="V45" s="17"/>
      <c r="W45" s="17"/>
      <c r="X45" s="16"/>
      <c r="Y45" s="107" t="s">
        <v>76</v>
      </c>
      <c r="Z45" s="107"/>
      <c r="AA45" s="136"/>
      <c r="AB45" s="136"/>
      <c r="AC45" s="297" t="s">
        <v>77</v>
      </c>
      <c r="AD45" s="298"/>
      <c r="AE45" s="298"/>
      <c r="AF45" s="298"/>
      <c r="AG45" s="299"/>
      <c r="AH45" s="70"/>
      <c r="AI45" s="147"/>
      <c r="AJ45" s="147"/>
      <c r="AK45" s="147"/>
      <c r="AL45" s="147"/>
      <c r="AM45" s="36"/>
      <c r="AN45" s="37"/>
      <c r="AO45" s="37"/>
      <c r="AP45" s="37"/>
      <c r="AQ45" s="37"/>
      <c r="AR45" s="37"/>
      <c r="AS45" s="16"/>
      <c r="AT45" s="16"/>
      <c r="AU45" s="16"/>
      <c r="AV45" s="16"/>
      <c r="AW45" s="16"/>
      <c r="AX45" s="16"/>
      <c r="AY45" s="16"/>
      <c r="AZ45" s="16"/>
      <c r="BB45" s="24"/>
      <c r="BC45" s="27"/>
      <c r="BD45" s="27"/>
      <c r="BE45" s="28"/>
      <c r="BF45" s="24"/>
      <c r="BG45" s="29"/>
      <c r="BH45" s="30"/>
      <c r="BI45" s="31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24"/>
      <c r="CI45" s="32"/>
      <c r="CJ45" s="24"/>
      <c r="CK45" s="24"/>
      <c r="CM45" s="24"/>
      <c r="CN45" s="32"/>
      <c r="CQ45" s="32"/>
      <c r="CS45" s="29"/>
      <c r="CT45" s="87"/>
      <c r="CV45" s="32"/>
      <c r="CZ45" s="24"/>
      <c r="DA45" s="24"/>
      <c r="DB45" s="24"/>
      <c r="DC45" s="24"/>
      <c r="DD45" s="24"/>
      <c r="DE45" s="24"/>
      <c r="DF45" s="24"/>
      <c r="DG45" s="24"/>
      <c r="DH45" s="24"/>
      <c r="DI45" s="24"/>
      <c r="DJ45" s="24"/>
      <c r="DK45" s="24"/>
      <c r="DL45" s="24"/>
      <c r="DM45" s="24"/>
      <c r="DN45" s="24"/>
      <c r="DO45" s="24"/>
      <c r="DP45" s="24"/>
      <c r="DQ45" s="24"/>
      <c r="DR45" s="24"/>
      <c r="DS45" s="24"/>
      <c r="DT45" s="24"/>
      <c r="DU45" s="24"/>
      <c r="DV45" s="24"/>
      <c r="DW45" s="32"/>
      <c r="DX45" s="24"/>
      <c r="DY45" s="24"/>
      <c r="DZ45" s="24"/>
      <c r="EA45" s="32"/>
      <c r="ED45" s="32"/>
    </row>
    <row r="46" spans="1:134" ht="18" customHeight="1" x14ac:dyDescent="0.3">
      <c r="A46" s="16"/>
      <c r="B46" s="16"/>
      <c r="C46" s="16"/>
      <c r="D46" s="16"/>
      <c r="E46" s="16"/>
      <c r="F46" s="16"/>
      <c r="G46" s="16"/>
      <c r="H46" s="17"/>
      <c r="I46" s="17"/>
      <c r="J46" s="17"/>
      <c r="K46" s="16"/>
      <c r="L46" s="16"/>
      <c r="M46" s="16"/>
      <c r="N46" s="16"/>
      <c r="O46" s="17"/>
      <c r="P46" s="17"/>
      <c r="Q46" s="17"/>
      <c r="R46" s="17"/>
      <c r="S46" s="17"/>
      <c r="T46" s="17"/>
      <c r="U46" s="17"/>
      <c r="V46" s="17"/>
      <c r="W46" s="17"/>
      <c r="X46" s="16"/>
      <c r="Y46" s="139" t="s">
        <v>17</v>
      </c>
      <c r="Z46" s="107"/>
      <c r="AA46" s="136"/>
      <c r="AB46" s="136"/>
      <c r="AC46" s="300"/>
      <c r="AD46" s="301"/>
      <c r="AE46" s="301"/>
      <c r="AF46" s="301"/>
      <c r="AG46" s="299"/>
      <c r="AH46" s="70"/>
      <c r="AI46" s="147"/>
      <c r="AJ46" s="147"/>
      <c r="AK46" s="147"/>
      <c r="AL46" s="147"/>
      <c r="AM46" s="36"/>
      <c r="AN46" s="37"/>
      <c r="AO46" s="37"/>
      <c r="AP46" s="37"/>
      <c r="AQ46" s="37"/>
      <c r="AR46" s="37"/>
      <c r="AS46" s="16"/>
      <c r="AT46" s="16"/>
      <c r="AU46" s="16"/>
      <c r="AV46" s="16"/>
      <c r="AW46" s="16"/>
      <c r="AX46" s="16"/>
      <c r="AY46" s="16"/>
      <c r="AZ46" s="16"/>
      <c r="BB46" s="24"/>
      <c r="BC46" s="27"/>
      <c r="BD46" s="27"/>
      <c r="BE46" s="28"/>
      <c r="BF46" s="24"/>
      <c r="BG46" s="29"/>
      <c r="BH46" s="30"/>
      <c r="BI46" s="31"/>
      <c r="BJ46" s="24"/>
      <c r="BK46" s="24"/>
      <c r="BL46" s="24"/>
      <c r="BM46" s="24"/>
      <c r="BN46" s="24"/>
      <c r="BO46" s="24"/>
      <c r="BP46" s="24"/>
      <c r="BQ46" s="24"/>
      <c r="BR46" s="24"/>
      <c r="BS46" s="24"/>
      <c r="BT46" s="24"/>
      <c r="BU46" s="24"/>
      <c r="BV46" s="24"/>
      <c r="BW46" s="24"/>
      <c r="BX46" s="24"/>
      <c r="BY46" s="24"/>
      <c r="BZ46" s="24"/>
      <c r="CA46" s="24"/>
      <c r="CB46" s="24"/>
      <c r="CC46" s="24"/>
      <c r="CD46" s="24"/>
      <c r="CE46" s="24"/>
      <c r="CF46" s="24"/>
      <c r="CG46" s="24"/>
      <c r="CH46" s="24"/>
      <c r="CI46" s="24"/>
      <c r="CJ46" s="32"/>
      <c r="CK46" s="24"/>
      <c r="CL46" s="24"/>
      <c r="CM46" s="24"/>
      <c r="CN46" s="32"/>
      <c r="CQ46" s="32"/>
      <c r="CS46" s="29"/>
      <c r="CT46" s="87"/>
      <c r="CV46" s="32"/>
      <c r="CZ46" s="24"/>
      <c r="DA46" s="24"/>
      <c r="DB46" s="24"/>
      <c r="DC46" s="24"/>
      <c r="DD46" s="24"/>
      <c r="DE46" s="24"/>
      <c r="DF46" s="24"/>
      <c r="DG46" s="24"/>
      <c r="DH46" s="24"/>
      <c r="DI46" s="24"/>
      <c r="DJ46" s="24"/>
      <c r="DK46" s="24"/>
      <c r="DL46" s="24"/>
      <c r="DM46" s="24"/>
      <c r="DN46" s="24"/>
      <c r="DO46" s="24"/>
      <c r="DP46" s="24"/>
      <c r="DQ46" s="24"/>
      <c r="DR46" s="24"/>
      <c r="DS46" s="24"/>
      <c r="DT46" s="24"/>
      <c r="DU46" s="24"/>
      <c r="DV46" s="24"/>
      <c r="DW46" s="32"/>
      <c r="DX46" s="24"/>
      <c r="DY46" s="24"/>
      <c r="DZ46" s="24"/>
      <c r="EA46" s="32"/>
      <c r="ED46" s="32"/>
    </row>
    <row r="47" spans="1:134" ht="18" customHeight="1" x14ac:dyDescent="0.3">
      <c r="A47" s="16"/>
      <c r="B47" s="16"/>
      <c r="C47" s="16"/>
      <c r="D47" s="16"/>
      <c r="E47" s="16"/>
      <c r="F47" s="16"/>
      <c r="G47" s="16"/>
      <c r="H47" s="17"/>
      <c r="I47" s="17"/>
      <c r="J47" s="17"/>
      <c r="K47" s="16"/>
      <c r="L47" s="16"/>
      <c r="M47" s="16"/>
      <c r="N47" s="16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75"/>
      <c r="Z47" s="75"/>
      <c r="AA47" s="148"/>
      <c r="AB47" s="148"/>
      <c r="AC47" s="300"/>
      <c r="AD47" s="301"/>
      <c r="AE47" s="301"/>
      <c r="AF47" s="301"/>
      <c r="AG47" s="301"/>
      <c r="AH47" s="292" t="s">
        <v>17</v>
      </c>
      <c r="AI47" s="293"/>
      <c r="AJ47" s="128" t="s">
        <v>78</v>
      </c>
      <c r="AK47" s="140"/>
      <c r="AL47" s="140"/>
      <c r="AM47" s="37"/>
      <c r="AN47" s="37"/>
      <c r="AO47" s="37"/>
      <c r="AP47" s="37"/>
      <c r="AQ47" s="37"/>
      <c r="AR47" s="17"/>
      <c r="AS47" s="16"/>
      <c r="AT47" s="16"/>
      <c r="AU47" s="16"/>
      <c r="AV47" s="16"/>
      <c r="AW47" s="16"/>
      <c r="AX47" s="16"/>
      <c r="AY47" s="16"/>
      <c r="AZ47" s="16"/>
      <c r="BB47" s="24"/>
      <c r="BC47" s="27"/>
      <c r="BD47" s="27"/>
      <c r="BE47" s="28"/>
      <c r="BF47" s="24"/>
      <c r="BG47" s="29"/>
      <c r="BH47" s="30"/>
      <c r="BI47" s="31"/>
      <c r="BJ47" s="24"/>
      <c r="BK47" s="24"/>
      <c r="BL47" s="24"/>
      <c r="BM47" s="24"/>
      <c r="BN47" s="24"/>
      <c r="BO47" s="24"/>
      <c r="BP47" s="24"/>
      <c r="BQ47" s="24"/>
      <c r="BR47" s="24"/>
      <c r="BS47" s="24"/>
      <c r="BT47" s="24"/>
      <c r="BU47" s="24"/>
      <c r="BV47" s="24"/>
      <c r="BW47" s="24"/>
      <c r="BX47" s="24"/>
      <c r="BY47" s="24"/>
      <c r="BZ47" s="24"/>
      <c r="CA47" s="24"/>
      <c r="CB47" s="24"/>
      <c r="CC47" s="24"/>
      <c r="CD47" s="24"/>
      <c r="CE47" s="24"/>
      <c r="CF47" s="24"/>
      <c r="CG47" s="24"/>
      <c r="CH47" s="24"/>
      <c r="CI47" s="24"/>
      <c r="CJ47" s="32"/>
      <c r="CK47" s="24"/>
      <c r="CL47" s="24"/>
      <c r="CM47" s="24"/>
      <c r="CN47" s="32"/>
      <c r="CQ47" s="32"/>
      <c r="CS47" s="29"/>
      <c r="CT47" s="87"/>
      <c r="CV47" s="32"/>
      <c r="CZ47" s="24"/>
      <c r="DA47" s="24"/>
      <c r="DB47" s="24"/>
      <c r="DC47" s="24"/>
      <c r="DD47" s="24"/>
      <c r="DE47" s="24"/>
      <c r="DF47" s="24"/>
      <c r="DG47" s="24"/>
      <c r="DH47" s="24"/>
      <c r="DI47" s="24"/>
      <c r="DJ47" s="24"/>
      <c r="DK47" s="24"/>
      <c r="DL47" s="24"/>
      <c r="DM47" s="24"/>
      <c r="DN47" s="24"/>
      <c r="DO47" s="24"/>
      <c r="DP47" s="24"/>
      <c r="DQ47" s="24"/>
      <c r="DR47" s="24"/>
      <c r="DS47" s="24"/>
      <c r="DT47" s="24"/>
      <c r="DU47" s="24"/>
      <c r="DV47" s="24"/>
      <c r="DW47" s="32"/>
      <c r="DX47" s="24"/>
      <c r="DY47" s="24"/>
      <c r="DZ47" s="24"/>
      <c r="EA47" s="32"/>
      <c r="ED47" s="32"/>
    </row>
    <row r="48" spans="1:134" ht="16.75" customHeight="1" thickBot="1" x14ac:dyDescent="0.35">
      <c r="A48" s="16"/>
      <c r="B48" s="16"/>
      <c r="C48" s="16"/>
      <c r="D48" s="16"/>
      <c r="E48" s="16"/>
      <c r="F48" s="16"/>
      <c r="G48" s="16"/>
      <c r="H48" s="17"/>
      <c r="I48" s="17"/>
      <c r="J48" s="17"/>
      <c r="K48" s="17"/>
      <c r="L48" s="17"/>
      <c r="M48" s="17"/>
      <c r="N48" s="36"/>
      <c r="O48" s="36"/>
      <c r="P48" s="17"/>
      <c r="Q48" s="17"/>
      <c r="R48" s="17"/>
      <c r="S48" s="17"/>
      <c r="T48" s="17"/>
      <c r="U48" s="17"/>
      <c r="V48" s="17"/>
      <c r="W48" s="17"/>
      <c r="X48" s="17"/>
      <c r="Y48" s="16"/>
      <c r="Z48" s="16"/>
      <c r="AA48" s="126"/>
      <c r="AB48" s="126"/>
      <c r="AC48" s="228"/>
      <c r="AD48" s="302"/>
      <c r="AE48" s="302"/>
      <c r="AF48" s="302"/>
      <c r="AG48" s="229"/>
      <c r="AH48" s="70"/>
      <c r="AI48" s="140"/>
      <c r="AJ48" s="70"/>
      <c r="AK48" s="70"/>
      <c r="AL48" s="70"/>
      <c r="AM48" s="17"/>
      <c r="AN48" s="17"/>
      <c r="AO48" s="17"/>
      <c r="AP48" s="17"/>
      <c r="AQ48" s="17"/>
      <c r="AR48" s="17"/>
      <c r="AS48" s="16"/>
      <c r="AT48" s="16"/>
      <c r="AU48" s="16"/>
      <c r="AV48" s="16"/>
      <c r="AW48" s="16"/>
      <c r="AX48" s="16"/>
      <c r="AY48" s="16"/>
      <c r="AZ48" s="16"/>
      <c r="BB48" s="24"/>
      <c r="BC48" s="27"/>
      <c r="BD48" s="27"/>
      <c r="BE48" s="43"/>
      <c r="BF48" s="24"/>
      <c r="BG48" s="29"/>
      <c r="BH48" s="30"/>
      <c r="BI48" s="31"/>
      <c r="BJ48" s="24"/>
      <c r="BK48" s="24"/>
      <c r="BL48" s="24"/>
      <c r="BM48" s="24"/>
      <c r="BN48" s="24"/>
      <c r="BO48" s="24"/>
      <c r="BP48" s="24"/>
      <c r="BQ48" s="24"/>
      <c r="BR48" s="24"/>
      <c r="BS48" s="24"/>
      <c r="BT48" s="24"/>
      <c r="BU48" s="24"/>
      <c r="BV48" s="24"/>
      <c r="BW48" s="24"/>
      <c r="BX48" s="24"/>
      <c r="BY48" s="24"/>
      <c r="BZ48" s="24"/>
      <c r="CA48" s="24"/>
      <c r="CB48" s="24"/>
      <c r="CC48" s="24"/>
      <c r="CD48" s="24"/>
      <c r="CE48" s="24"/>
      <c r="CF48" s="24"/>
      <c r="CG48" s="24"/>
      <c r="CH48" s="24"/>
      <c r="CI48" s="24"/>
      <c r="CJ48" s="32"/>
      <c r="CK48" s="24"/>
      <c r="CL48" s="24"/>
      <c r="CM48" s="24"/>
      <c r="CN48" s="32"/>
      <c r="CQ48" s="32"/>
      <c r="CS48" s="29"/>
      <c r="CT48" s="87"/>
      <c r="CV48" s="32"/>
      <c r="CZ48" s="24"/>
      <c r="DA48" s="24"/>
      <c r="DB48" s="24"/>
      <c r="DC48" s="24"/>
      <c r="DD48" s="24"/>
      <c r="DE48" s="24"/>
      <c r="DF48" s="24"/>
      <c r="DG48" s="24"/>
      <c r="DH48" s="24"/>
      <c r="DI48" s="24"/>
      <c r="DJ48" s="24"/>
      <c r="DK48" s="24"/>
      <c r="DL48" s="24"/>
      <c r="DM48" s="24"/>
      <c r="DN48" s="24"/>
      <c r="DO48" s="24"/>
      <c r="DP48" s="24"/>
      <c r="DQ48" s="24"/>
      <c r="DR48" s="24"/>
      <c r="DS48" s="24"/>
      <c r="DT48" s="24"/>
      <c r="DU48" s="24"/>
      <c r="DV48" s="24"/>
      <c r="DW48" s="32"/>
      <c r="DX48" s="24"/>
      <c r="DY48" s="24"/>
      <c r="DZ48" s="24"/>
      <c r="EA48" s="32"/>
      <c r="ED48" s="32"/>
    </row>
    <row r="49" spans="1:134" ht="18" customHeight="1" x14ac:dyDescent="0.3">
      <c r="A49" s="16"/>
      <c r="B49" s="16"/>
      <c r="C49" s="16"/>
      <c r="D49" s="16"/>
      <c r="E49" s="16"/>
      <c r="F49" s="16"/>
      <c r="G49" s="16"/>
      <c r="H49" s="17"/>
      <c r="I49" s="17"/>
      <c r="J49" s="17"/>
      <c r="K49" s="17"/>
      <c r="L49" s="17"/>
      <c r="M49" s="26"/>
      <c r="N49" s="26"/>
      <c r="O49" s="26"/>
      <c r="P49" s="16"/>
      <c r="Q49" s="304">
        <f>SUM(AM22,AM30,AM37,AP14)</f>
        <v>0</v>
      </c>
      <c r="R49" s="305"/>
      <c r="S49" s="26"/>
      <c r="T49" s="72"/>
      <c r="U49" s="17"/>
      <c r="V49" s="17"/>
      <c r="W49" s="17"/>
      <c r="X49" s="17"/>
      <c r="Y49" s="16"/>
      <c r="Z49" s="16"/>
      <c r="AA49" s="16"/>
      <c r="AB49" s="17"/>
      <c r="AC49" s="17"/>
      <c r="AD49" s="17"/>
      <c r="AE49" s="17"/>
      <c r="AF49" s="17"/>
      <c r="AG49" s="17"/>
      <c r="AH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6"/>
      <c r="AT49" s="16"/>
      <c r="AU49" s="16"/>
      <c r="AV49" s="16"/>
      <c r="AW49" s="16"/>
      <c r="AX49" s="16"/>
      <c r="AY49" s="16"/>
      <c r="AZ49" s="16"/>
      <c r="BB49" s="24"/>
      <c r="BC49" s="42"/>
      <c r="BD49" s="42"/>
      <c r="BE49" s="43"/>
      <c r="BF49" s="24"/>
      <c r="BG49" s="44"/>
      <c r="BH49" s="30"/>
      <c r="BI49" s="31"/>
      <c r="BJ49" s="24"/>
      <c r="BK49" s="24"/>
      <c r="BL49" s="24"/>
      <c r="BM49" s="24"/>
      <c r="BN49" s="24"/>
      <c r="BO49" s="24"/>
      <c r="BP49" s="24"/>
      <c r="BQ49" s="24"/>
      <c r="BR49" s="24"/>
      <c r="BS49" s="24"/>
      <c r="BT49" s="24"/>
      <c r="BU49" s="24"/>
      <c r="BV49" s="24"/>
      <c r="BW49" s="24"/>
      <c r="BX49" s="24"/>
      <c r="BY49" s="24"/>
      <c r="BZ49" s="24"/>
      <c r="CA49" s="24"/>
      <c r="CB49" s="24"/>
      <c r="CC49" s="24"/>
      <c r="CD49" s="24"/>
      <c r="CE49" s="24"/>
      <c r="CF49" s="24"/>
      <c r="CG49" s="24"/>
      <c r="CH49" s="24"/>
      <c r="CI49" s="24"/>
      <c r="CJ49" s="32"/>
      <c r="CK49" s="24"/>
      <c r="CL49" s="24"/>
      <c r="CM49" s="24"/>
      <c r="CN49" s="32"/>
      <c r="CQ49" s="32"/>
      <c r="CS49" s="44"/>
      <c r="CT49" s="87"/>
      <c r="CV49" s="32"/>
    </row>
    <row r="50" spans="1:134" ht="20.5" customHeight="1" x14ac:dyDescent="0.3">
      <c r="A50" s="16"/>
      <c r="B50" s="16"/>
      <c r="C50" s="16"/>
      <c r="D50" s="16"/>
      <c r="E50" s="16"/>
      <c r="F50" s="16"/>
      <c r="G50" s="16"/>
      <c r="H50" s="17"/>
      <c r="I50" s="17"/>
      <c r="J50" s="17"/>
      <c r="K50" s="17"/>
      <c r="L50" s="17"/>
      <c r="M50" s="26"/>
      <c r="N50" s="26"/>
      <c r="O50" s="26"/>
      <c r="P50" s="16"/>
      <c r="Q50" s="149" t="s">
        <v>79</v>
      </c>
      <c r="R50" s="26"/>
      <c r="S50" s="26"/>
      <c r="T50" s="72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6"/>
      <c r="AT50" s="16"/>
      <c r="AU50" s="16"/>
      <c r="AV50" s="16"/>
      <c r="AW50" s="16"/>
      <c r="AX50" s="16"/>
      <c r="AY50" s="16"/>
      <c r="AZ50" s="16"/>
      <c r="BB50" s="24"/>
      <c r="BC50" s="42"/>
      <c r="BD50" s="42"/>
      <c r="BE50" s="43"/>
      <c r="BF50" s="24"/>
      <c r="BG50" s="44"/>
      <c r="BH50" s="30"/>
      <c r="BI50" s="31"/>
      <c r="BJ50" s="24"/>
      <c r="BK50" s="24"/>
      <c r="BL50" s="24"/>
      <c r="BM50" s="24"/>
      <c r="BN50" s="24"/>
      <c r="BO50" s="24"/>
      <c r="BP50" s="24"/>
      <c r="BQ50" s="24"/>
      <c r="BR50" s="24"/>
      <c r="BS50" s="24"/>
      <c r="BT50" s="24"/>
      <c r="BU50" s="24"/>
      <c r="BV50" s="24"/>
      <c r="BW50" s="24"/>
      <c r="BX50" s="24"/>
      <c r="BY50" s="24"/>
      <c r="BZ50" s="24"/>
      <c r="CA50" s="24"/>
      <c r="CB50" s="24"/>
      <c r="CC50" s="24"/>
      <c r="CD50" s="24"/>
      <c r="CE50" s="24"/>
      <c r="CF50" s="24"/>
      <c r="CG50" s="24"/>
      <c r="CH50" s="24"/>
      <c r="CI50" s="24"/>
      <c r="CJ50" s="24"/>
      <c r="CK50" s="24"/>
      <c r="CL50" s="24"/>
      <c r="CM50" s="24"/>
      <c r="CN50" s="24"/>
      <c r="CO50" s="24"/>
      <c r="CP50" s="24"/>
      <c r="CQ50" s="24"/>
      <c r="CS50" s="44"/>
      <c r="CT50" s="87"/>
      <c r="CV50" s="32"/>
      <c r="CW50" s="150"/>
    </row>
    <row r="51" spans="1:134" ht="24.5" customHeight="1" x14ac:dyDescent="0.3">
      <c r="M51" s="151"/>
      <c r="N51" s="151"/>
      <c r="O51" s="151"/>
      <c r="Q51" s="152"/>
      <c r="R51" s="151"/>
      <c r="S51" s="151"/>
      <c r="T51" s="153"/>
      <c r="BB51" s="24"/>
      <c r="BC51" s="42"/>
      <c r="BD51" s="42"/>
      <c r="BE51" s="43"/>
      <c r="BF51" s="24"/>
      <c r="BG51" s="44"/>
      <c r="BH51" s="68"/>
      <c r="BI51" s="31"/>
      <c r="BJ51" s="24"/>
      <c r="BK51" s="24"/>
      <c r="BL51" s="24"/>
      <c r="BM51" s="24"/>
      <c r="BN51" s="24"/>
      <c r="BO51" s="24"/>
      <c r="BP51" s="24"/>
      <c r="BQ51" s="24"/>
      <c r="BR51" s="24"/>
      <c r="BS51" s="24"/>
      <c r="BT51" s="24"/>
      <c r="BU51" s="24"/>
      <c r="BV51" s="24"/>
      <c r="BW51" s="24"/>
      <c r="BX51" s="24"/>
      <c r="BY51" s="24"/>
      <c r="BZ51" s="24"/>
      <c r="CA51" s="24"/>
      <c r="CB51" s="24"/>
      <c r="CC51" s="24"/>
      <c r="CD51" s="24"/>
      <c r="CE51" s="24"/>
      <c r="CF51" s="24"/>
      <c r="CG51" s="24"/>
      <c r="CH51" s="24"/>
      <c r="CI51" s="24"/>
      <c r="CJ51" s="24"/>
      <c r="CK51" s="24"/>
      <c r="CL51" s="24"/>
      <c r="CM51" s="24"/>
      <c r="CN51" s="24"/>
      <c r="CO51" s="24"/>
      <c r="CP51" s="24"/>
      <c r="CQ51" s="24"/>
      <c r="CS51" s="44"/>
      <c r="CT51" s="87"/>
      <c r="CV51" s="32"/>
      <c r="CW51" s="150"/>
    </row>
    <row r="52" spans="1:134" ht="24.5" customHeight="1" x14ac:dyDescent="0.3">
      <c r="D52" s="151"/>
      <c r="E52" s="151"/>
      <c r="F52" s="151"/>
      <c r="G52" s="151"/>
      <c r="H52" s="151"/>
      <c r="I52" s="151"/>
      <c r="J52" s="151"/>
      <c r="K52" s="151"/>
      <c r="L52" s="151"/>
      <c r="M52" s="151"/>
      <c r="N52" s="151"/>
      <c r="O52" s="151"/>
      <c r="P52" s="151"/>
      <c r="Q52" s="151"/>
      <c r="R52" s="151"/>
      <c r="S52" s="151"/>
      <c r="T52" s="151"/>
      <c r="U52" s="151"/>
      <c r="V52" s="151"/>
      <c r="W52" s="151"/>
      <c r="X52" s="151"/>
      <c r="Y52" s="151"/>
      <c r="Z52" s="151"/>
      <c r="AA52" s="151"/>
      <c r="AB52" s="151"/>
      <c r="AC52" s="151"/>
      <c r="AD52" s="151"/>
      <c r="AE52" s="151"/>
      <c r="AF52" s="151"/>
      <c r="AG52" s="151"/>
      <c r="AH52" s="151"/>
      <c r="AI52" s="151"/>
      <c r="AJ52" s="151"/>
      <c r="AK52" s="151"/>
      <c r="AL52" s="151"/>
      <c r="AM52" s="151"/>
      <c r="AN52" s="151"/>
      <c r="AO52" s="151"/>
      <c r="AP52" s="151"/>
      <c r="AQ52" s="151"/>
      <c r="AR52" s="151"/>
      <c r="AS52" s="151"/>
      <c r="BB52" s="24"/>
      <c r="BC52" s="27"/>
      <c r="BD52" s="27"/>
      <c r="BE52" s="28"/>
      <c r="BF52" s="24"/>
      <c r="BG52" s="29"/>
      <c r="BH52" s="68"/>
      <c r="BI52" s="31"/>
      <c r="BJ52" s="24"/>
      <c r="BK52" s="24"/>
      <c r="BL52" s="24"/>
      <c r="BM52" s="24"/>
      <c r="BN52" s="24"/>
      <c r="BO52" s="24"/>
      <c r="BP52" s="24"/>
      <c r="BQ52" s="24"/>
      <c r="BR52" s="24"/>
      <c r="BS52" s="24"/>
      <c r="BT52" s="24"/>
      <c r="BU52" s="24"/>
      <c r="BV52" s="24"/>
      <c r="BW52" s="24"/>
      <c r="BX52" s="24"/>
      <c r="BY52" s="24"/>
      <c r="BZ52" s="24"/>
      <c r="CA52" s="24"/>
      <c r="CB52" s="24"/>
      <c r="CC52" s="24"/>
      <c r="CD52" s="24"/>
      <c r="CE52" s="24"/>
      <c r="CF52" s="24"/>
      <c r="CG52" s="24"/>
      <c r="CH52" s="24"/>
      <c r="CI52" s="24"/>
      <c r="CJ52" s="24"/>
      <c r="CK52" s="24"/>
      <c r="CL52" s="24"/>
      <c r="CM52" s="24"/>
      <c r="CN52" s="24"/>
      <c r="CO52" s="24"/>
      <c r="CP52" s="24"/>
      <c r="CQ52" s="24"/>
      <c r="CS52" s="29"/>
      <c r="CT52" s="87"/>
      <c r="CV52" s="32"/>
      <c r="CZ52" s="24"/>
      <c r="DA52" s="24"/>
      <c r="DB52" s="24"/>
      <c r="DC52" s="24"/>
      <c r="DD52" s="24"/>
      <c r="DE52" s="24"/>
      <c r="DF52" s="24"/>
      <c r="DG52" s="24"/>
      <c r="DH52" s="24"/>
      <c r="DI52" s="24"/>
      <c r="DJ52" s="24"/>
      <c r="DK52" s="24"/>
      <c r="DL52" s="24"/>
      <c r="DM52" s="24"/>
      <c r="DN52" s="24"/>
      <c r="DO52" s="105"/>
      <c r="DP52" s="24"/>
      <c r="DQ52" s="24"/>
      <c r="DR52" s="24"/>
      <c r="DS52" s="24"/>
      <c r="DT52" s="24"/>
      <c r="DU52" s="24"/>
      <c r="DV52" s="24"/>
      <c r="DW52" s="32"/>
      <c r="DX52" s="24"/>
      <c r="DY52" s="24"/>
      <c r="DZ52" s="24"/>
      <c r="EA52" s="32"/>
      <c r="ED52" s="32"/>
    </row>
    <row r="53" spans="1:134" ht="24.5" customHeight="1" x14ac:dyDescent="0.3">
      <c r="D53" s="151"/>
      <c r="E53" s="151"/>
      <c r="F53" s="151"/>
      <c r="G53" s="151"/>
      <c r="H53" s="151"/>
      <c r="I53" s="151"/>
      <c r="J53" s="151"/>
      <c r="K53" s="151"/>
      <c r="L53" s="151"/>
      <c r="M53" s="151"/>
      <c r="N53" s="151"/>
      <c r="O53" s="151"/>
      <c r="P53" s="151"/>
      <c r="Q53" s="151"/>
      <c r="R53" s="151"/>
      <c r="S53" s="151"/>
      <c r="T53" s="151"/>
      <c r="U53" s="151"/>
      <c r="V53" s="151"/>
      <c r="W53" s="151"/>
      <c r="X53" s="151"/>
      <c r="Y53" s="151"/>
      <c r="Z53" s="151"/>
      <c r="AA53" s="151"/>
      <c r="AB53" s="151"/>
      <c r="AC53" s="151"/>
      <c r="AD53" s="151"/>
      <c r="AE53" s="151"/>
      <c r="AF53" s="151"/>
      <c r="AG53" s="151"/>
      <c r="AH53" s="151"/>
      <c r="AI53" s="151"/>
      <c r="AJ53" s="151"/>
      <c r="AK53" s="151"/>
      <c r="AL53" s="151"/>
      <c r="AM53" s="151"/>
      <c r="AN53" s="151"/>
      <c r="AO53" s="151"/>
      <c r="AP53" s="151"/>
      <c r="AQ53" s="151"/>
      <c r="AR53" s="151"/>
      <c r="AS53" s="151"/>
      <c r="BB53" s="24"/>
      <c r="BC53" s="42"/>
      <c r="BD53" s="42"/>
      <c r="BE53" s="43"/>
      <c r="BF53" s="24"/>
      <c r="BG53" s="44"/>
      <c r="BH53" s="68"/>
      <c r="BI53" s="31"/>
      <c r="BJ53" s="24"/>
      <c r="BK53" s="24"/>
      <c r="BL53" s="24"/>
      <c r="BM53" s="24"/>
      <c r="BN53" s="24"/>
      <c r="BO53" s="24"/>
      <c r="BP53" s="24"/>
      <c r="BQ53" s="24"/>
      <c r="BR53" s="24"/>
      <c r="BS53" s="24"/>
      <c r="BT53" s="24"/>
      <c r="BU53" s="24"/>
      <c r="BV53" s="24"/>
      <c r="BW53" s="24"/>
      <c r="BX53" s="24"/>
      <c r="BY53" s="24"/>
      <c r="BZ53" s="24"/>
      <c r="CA53" s="24"/>
      <c r="CB53" s="24"/>
      <c r="CC53" s="24"/>
      <c r="CD53" s="24"/>
      <c r="CE53" s="24"/>
      <c r="CF53" s="24"/>
      <c r="CG53" s="24"/>
      <c r="CH53" s="24"/>
      <c r="CI53" s="24"/>
      <c r="CJ53" s="32"/>
      <c r="CK53" s="24"/>
      <c r="CL53" s="24"/>
      <c r="CM53" s="24"/>
      <c r="CN53" s="32"/>
      <c r="CQ53" s="32"/>
      <c r="CS53" s="44"/>
      <c r="CT53" s="87"/>
      <c r="CV53" s="32"/>
      <c r="CZ53" s="24"/>
      <c r="DA53" s="24"/>
      <c r="DB53" s="24"/>
      <c r="DC53" s="24"/>
      <c r="DD53" s="24"/>
      <c r="DE53" s="24"/>
      <c r="DF53" s="24"/>
      <c r="DG53" s="24"/>
      <c r="DH53" s="24"/>
      <c r="DI53" s="24"/>
      <c r="DJ53" s="24"/>
      <c r="DK53" s="24"/>
      <c r="DL53" s="24"/>
      <c r="DM53" s="24"/>
      <c r="DN53" s="24"/>
      <c r="DO53" s="24"/>
      <c r="DP53" s="24"/>
      <c r="DQ53" s="24"/>
      <c r="DR53" s="24"/>
      <c r="DS53" s="24"/>
      <c r="DT53" s="24"/>
      <c r="DU53" s="24"/>
      <c r="DV53" s="24"/>
      <c r="DW53" s="24"/>
      <c r="DX53" s="24"/>
      <c r="DY53" s="24"/>
      <c r="DZ53" s="24"/>
      <c r="EA53" s="24"/>
      <c r="EB53" s="24"/>
      <c r="EC53" s="24"/>
      <c r="ED53" s="24"/>
    </row>
    <row r="54" spans="1:134" ht="24.5" customHeight="1" x14ac:dyDescent="0.3">
      <c r="D54" s="151"/>
      <c r="E54" s="151"/>
      <c r="F54" s="151"/>
      <c r="G54" s="151"/>
      <c r="H54" s="151"/>
      <c r="I54" s="151"/>
      <c r="J54" s="151"/>
      <c r="K54" s="151"/>
      <c r="L54" s="151"/>
      <c r="M54" s="151"/>
      <c r="N54" s="151"/>
      <c r="O54" s="151"/>
      <c r="P54" s="151"/>
      <c r="Q54" s="151"/>
      <c r="R54" s="151"/>
      <c r="S54" s="151"/>
      <c r="T54" s="151"/>
      <c r="U54" s="151"/>
      <c r="V54" s="151"/>
      <c r="W54" s="151"/>
      <c r="X54" s="151"/>
      <c r="Y54" s="151"/>
      <c r="Z54" s="151"/>
      <c r="AA54" s="151"/>
      <c r="AB54" s="151"/>
      <c r="AC54" s="151"/>
      <c r="AD54" s="151"/>
      <c r="AE54" s="151"/>
      <c r="AF54" s="151"/>
      <c r="AG54" s="151"/>
      <c r="AH54" s="151"/>
      <c r="AI54" s="151"/>
      <c r="AJ54" s="151"/>
      <c r="AK54" s="151"/>
      <c r="AL54" s="151"/>
      <c r="AM54" s="151"/>
      <c r="AN54" s="151"/>
      <c r="AO54" s="151"/>
      <c r="AP54" s="151"/>
      <c r="AQ54" s="151"/>
      <c r="AR54" s="151"/>
      <c r="AS54" s="151"/>
      <c r="BB54" s="24"/>
      <c r="BC54" s="42"/>
      <c r="BD54" s="42"/>
      <c r="BE54" s="43"/>
      <c r="BF54" s="24"/>
      <c r="BG54" s="44"/>
      <c r="BH54" s="68"/>
      <c r="BI54" s="31"/>
      <c r="BJ54" s="24"/>
      <c r="BK54" s="24"/>
      <c r="BL54" s="24"/>
      <c r="BM54" s="24"/>
      <c r="BN54" s="24"/>
      <c r="BO54" s="24"/>
      <c r="BP54" s="24"/>
      <c r="BQ54" s="24"/>
      <c r="BR54" s="24"/>
      <c r="BS54" s="24"/>
      <c r="BT54" s="24"/>
      <c r="BU54" s="24"/>
      <c r="BV54" s="24"/>
      <c r="BW54" s="24"/>
      <c r="BX54" s="24"/>
      <c r="BY54" s="24"/>
      <c r="BZ54" s="24"/>
      <c r="CA54" s="24"/>
      <c r="CB54" s="24"/>
      <c r="CC54" s="24"/>
      <c r="CD54" s="24"/>
      <c r="CE54" s="24"/>
      <c r="CF54" s="24"/>
      <c r="CG54" s="24"/>
      <c r="CH54" s="24"/>
      <c r="CI54" s="24"/>
      <c r="CJ54" s="24"/>
      <c r="CK54" s="24"/>
      <c r="CL54" s="24"/>
      <c r="CM54" s="24"/>
      <c r="CN54" s="24"/>
      <c r="CO54" s="24"/>
      <c r="CP54" s="24"/>
      <c r="CQ54" s="24"/>
      <c r="CS54" s="44"/>
      <c r="CT54" s="87"/>
      <c r="CV54" s="32"/>
      <c r="CZ54" s="24"/>
      <c r="DA54" s="49"/>
      <c r="DB54" s="49"/>
      <c r="DC54" s="49"/>
      <c r="DD54" s="49"/>
      <c r="DE54" s="49"/>
      <c r="DF54" s="49"/>
      <c r="DG54" s="49"/>
      <c r="DH54" s="49"/>
      <c r="DI54" s="49"/>
      <c r="DJ54" s="49"/>
      <c r="DK54" s="49"/>
      <c r="DL54" s="49"/>
      <c r="DM54" s="49"/>
      <c r="DN54" s="49"/>
      <c r="DO54" s="49"/>
      <c r="DP54" s="49"/>
      <c r="DQ54" s="49"/>
      <c r="DR54" s="49"/>
      <c r="DS54" s="49"/>
      <c r="DT54" s="49"/>
      <c r="DU54" s="49"/>
      <c r="DV54" s="49"/>
      <c r="DW54" s="49"/>
      <c r="DX54" s="49"/>
      <c r="DY54" s="49"/>
      <c r="DZ54" s="49"/>
      <c r="EA54" s="49"/>
      <c r="EB54" s="49"/>
      <c r="EC54" s="49"/>
      <c r="ED54" s="49"/>
    </row>
    <row r="55" spans="1:134" ht="24.5" customHeight="1" x14ac:dyDescent="0.3">
      <c r="D55" s="151"/>
      <c r="E55" s="151"/>
      <c r="F55" s="151"/>
      <c r="G55" s="151"/>
      <c r="H55" s="151"/>
      <c r="I55" s="151"/>
      <c r="J55" s="151"/>
      <c r="K55" s="151"/>
      <c r="L55" s="151"/>
      <c r="M55" s="151"/>
      <c r="N55" s="151"/>
      <c r="O55" s="151"/>
      <c r="P55" s="151"/>
      <c r="Q55" s="151"/>
      <c r="R55" s="151"/>
      <c r="S55" s="151"/>
      <c r="T55" s="151"/>
      <c r="U55" s="151"/>
      <c r="V55" s="151"/>
      <c r="W55" s="151"/>
      <c r="X55" s="151"/>
      <c r="Y55" s="151"/>
      <c r="Z55" s="151"/>
      <c r="AA55" s="151"/>
      <c r="AB55" s="151"/>
      <c r="AC55" s="151"/>
      <c r="AD55" s="151"/>
      <c r="AE55" s="151"/>
      <c r="AF55" s="151"/>
      <c r="AG55" s="151"/>
      <c r="AH55" s="151"/>
      <c r="AI55" s="151"/>
      <c r="AJ55" s="151"/>
      <c r="AK55" s="151"/>
      <c r="AL55" s="151"/>
      <c r="AM55" s="151"/>
      <c r="AN55" s="151"/>
      <c r="AO55" s="151"/>
      <c r="AP55" s="151"/>
      <c r="AQ55" s="151"/>
      <c r="AR55" s="151"/>
      <c r="AS55" s="151"/>
      <c r="BB55" s="24"/>
      <c r="BC55" s="154"/>
      <c r="BD55" s="154"/>
      <c r="BE55" s="155"/>
      <c r="BF55" s="24"/>
      <c r="BG55" s="156"/>
      <c r="BH55" s="30"/>
      <c r="BI55" s="31"/>
      <c r="BJ55" s="24"/>
      <c r="BK55" s="24"/>
      <c r="BL55" s="24"/>
      <c r="BM55" s="24"/>
      <c r="BN55" s="24"/>
      <c r="BO55" s="24"/>
      <c r="BP55" s="24"/>
      <c r="BQ55" s="24"/>
      <c r="BR55" s="24"/>
      <c r="BS55" s="24"/>
      <c r="BT55" s="24"/>
      <c r="BU55" s="24"/>
      <c r="BV55" s="24"/>
      <c r="BW55" s="24"/>
      <c r="BX55" s="24"/>
      <c r="BY55" s="24"/>
      <c r="BZ55" s="24"/>
      <c r="CA55" s="24"/>
      <c r="CB55" s="24"/>
      <c r="CC55" s="24"/>
      <c r="CD55" s="24"/>
      <c r="CE55" s="24"/>
      <c r="CF55" s="24"/>
      <c r="CG55" s="24"/>
      <c r="CH55" s="24"/>
      <c r="CI55" s="24"/>
      <c r="CJ55" s="24"/>
      <c r="CK55" s="24"/>
      <c r="CL55" s="24"/>
      <c r="CM55" s="24"/>
      <c r="CN55" s="24"/>
      <c r="CO55" s="24"/>
      <c r="CP55" s="24"/>
      <c r="CQ55" s="24"/>
      <c r="CS55" s="156"/>
      <c r="CT55" s="87"/>
      <c r="CV55" s="32"/>
      <c r="CZ55" s="24"/>
      <c r="DA55" s="24"/>
      <c r="DB55" s="24"/>
      <c r="DC55" s="24"/>
      <c r="DD55" s="24"/>
      <c r="DE55" s="24"/>
      <c r="DF55" s="24"/>
      <c r="DG55" s="24"/>
      <c r="DH55" s="24"/>
      <c r="DI55" s="24"/>
      <c r="DJ55" s="24"/>
      <c r="DK55" s="24"/>
      <c r="DL55" s="24"/>
      <c r="DM55" s="24"/>
      <c r="DN55" s="24"/>
      <c r="DO55" s="24"/>
      <c r="DP55" s="24"/>
      <c r="DQ55" s="24"/>
      <c r="DR55" s="24"/>
      <c r="DS55" s="24"/>
      <c r="DT55" s="24"/>
      <c r="DU55" s="24"/>
      <c r="DV55" s="24"/>
      <c r="DW55" s="32"/>
      <c r="DX55" s="24"/>
      <c r="DY55" s="24"/>
      <c r="DZ55" s="24"/>
      <c r="EA55" s="32"/>
      <c r="ED55" s="32"/>
    </row>
    <row r="56" spans="1:134" ht="23.25" customHeight="1" x14ac:dyDescent="0.3">
      <c r="D56" s="151"/>
      <c r="E56" s="151"/>
      <c r="F56" s="151"/>
      <c r="G56" s="151"/>
      <c r="H56" s="151"/>
      <c r="I56" s="151"/>
      <c r="J56" s="151"/>
      <c r="K56" s="151"/>
      <c r="L56" s="151"/>
      <c r="M56" s="151"/>
      <c r="N56" s="151"/>
      <c r="O56" s="151"/>
      <c r="P56" s="151"/>
      <c r="Q56" s="151"/>
      <c r="R56" s="151"/>
      <c r="S56" s="151"/>
      <c r="T56" s="151"/>
      <c r="U56" s="151"/>
      <c r="V56" s="151"/>
      <c r="W56" s="151"/>
      <c r="X56" s="151"/>
      <c r="Y56" s="151"/>
      <c r="Z56" s="151"/>
      <c r="AA56" s="151"/>
      <c r="AB56" s="151"/>
      <c r="AC56" s="151"/>
      <c r="AD56" s="151"/>
      <c r="AE56" s="151"/>
      <c r="AF56" s="151"/>
      <c r="AG56" s="151"/>
      <c r="AH56" s="151"/>
      <c r="AI56" s="151"/>
      <c r="AJ56" s="151"/>
      <c r="AK56" s="151"/>
      <c r="AL56" s="151"/>
      <c r="AM56" s="151"/>
      <c r="AN56" s="151"/>
      <c r="AO56" s="151"/>
      <c r="AP56" s="151"/>
      <c r="AQ56" s="151"/>
      <c r="AR56" s="151"/>
      <c r="AS56" s="151"/>
      <c r="BB56" s="24"/>
      <c r="BC56" s="154"/>
      <c r="BD56" s="154"/>
      <c r="BE56" s="155"/>
      <c r="BF56" s="24"/>
      <c r="BG56" s="156"/>
      <c r="BH56" s="30"/>
      <c r="BI56" s="31"/>
      <c r="BJ56" s="24"/>
      <c r="BK56" s="24"/>
      <c r="BL56" s="24"/>
      <c r="BM56" s="24"/>
      <c r="BN56" s="24"/>
      <c r="BO56" s="24"/>
      <c r="BP56" s="24"/>
      <c r="BQ56" s="24"/>
      <c r="BR56" s="24"/>
      <c r="BS56" s="24"/>
      <c r="BT56" s="24"/>
      <c r="BU56" s="24"/>
      <c r="BV56" s="24"/>
      <c r="BW56" s="24"/>
      <c r="BX56" s="24"/>
      <c r="BY56" s="24"/>
      <c r="BZ56" s="24"/>
      <c r="CA56" s="24"/>
      <c r="CB56" s="24"/>
      <c r="CC56" s="24"/>
      <c r="CD56" s="24"/>
      <c r="CE56" s="24"/>
      <c r="CF56" s="24"/>
      <c r="CG56" s="24"/>
      <c r="CH56" s="24"/>
      <c r="CI56" s="24"/>
      <c r="CJ56" s="32"/>
      <c r="CK56" s="24"/>
      <c r="CL56" s="24"/>
      <c r="CM56" s="24"/>
      <c r="CN56" s="32"/>
      <c r="CQ56" s="32"/>
      <c r="CS56" s="156"/>
      <c r="CT56" s="87"/>
      <c r="CV56" s="32"/>
    </row>
    <row r="57" spans="1:134" ht="23.25" customHeight="1" x14ac:dyDescent="0.3">
      <c r="D57" s="151"/>
      <c r="E57" s="151"/>
      <c r="F57" s="151"/>
      <c r="G57" s="151"/>
      <c r="H57" s="151"/>
      <c r="I57" s="151"/>
      <c r="J57" s="151"/>
      <c r="K57" s="151"/>
      <c r="L57" s="151"/>
      <c r="M57" s="151"/>
      <c r="N57" s="151"/>
      <c r="O57" s="151"/>
      <c r="P57" s="151"/>
      <c r="Q57" s="151"/>
      <c r="R57" s="151"/>
      <c r="S57" s="151"/>
      <c r="T57" s="151"/>
      <c r="U57" s="151"/>
      <c r="V57" s="151"/>
      <c r="W57" s="151"/>
      <c r="X57" s="151"/>
      <c r="Y57" s="151"/>
      <c r="Z57" s="151"/>
      <c r="AA57" s="151"/>
      <c r="AB57" s="151"/>
      <c r="AC57" s="151"/>
      <c r="AD57" s="151"/>
      <c r="AE57" s="151"/>
      <c r="AF57" s="151"/>
      <c r="AG57" s="151"/>
      <c r="AH57" s="151"/>
      <c r="AI57" s="151"/>
      <c r="AJ57" s="151"/>
      <c r="AK57" s="151"/>
      <c r="AL57" s="151"/>
      <c r="AM57" s="151"/>
      <c r="AN57" s="151"/>
      <c r="AO57" s="151"/>
      <c r="AP57" s="151"/>
      <c r="AQ57" s="151"/>
      <c r="AR57" s="151"/>
      <c r="AS57" s="151"/>
      <c r="BB57" s="24"/>
      <c r="BC57" s="154"/>
      <c r="BD57" s="154"/>
      <c r="BE57" s="155"/>
      <c r="BF57" s="24"/>
      <c r="BG57" s="156"/>
      <c r="BH57" s="30"/>
      <c r="BI57" s="31"/>
      <c r="BJ57" s="24"/>
      <c r="BK57" s="24"/>
      <c r="BL57" s="24"/>
      <c r="BM57" s="24"/>
      <c r="BN57" s="24"/>
      <c r="BO57" s="24"/>
      <c r="BP57" s="24"/>
      <c r="BQ57" s="24"/>
      <c r="BR57" s="24"/>
      <c r="BS57" s="24"/>
      <c r="BT57" s="24"/>
      <c r="BU57" s="24"/>
      <c r="BV57" s="24"/>
      <c r="BW57" s="24"/>
      <c r="BX57" s="24"/>
      <c r="BY57" s="24"/>
      <c r="BZ57" s="24"/>
      <c r="CA57" s="24"/>
      <c r="CB57" s="24"/>
      <c r="CC57" s="24"/>
      <c r="CD57" s="24"/>
      <c r="CE57" s="24"/>
      <c r="CF57" s="24"/>
      <c r="CG57" s="24"/>
      <c r="CH57" s="24"/>
      <c r="CI57" s="24"/>
      <c r="CJ57" s="32"/>
      <c r="CK57" s="24"/>
      <c r="CL57" s="24"/>
      <c r="CM57" s="24"/>
      <c r="CN57" s="32"/>
      <c r="CQ57" s="32"/>
      <c r="CS57" s="156"/>
      <c r="CT57" s="87"/>
      <c r="CV57" s="32"/>
    </row>
    <row r="58" spans="1:134" ht="23.25" customHeight="1" x14ac:dyDescent="0.3">
      <c r="D58" s="151"/>
      <c r="E58" s="151"/>
      <c r="F58" s="151"/>
      <c r="G58" s="151"/>
      <c r="H58" s="151"/>
      <c r="I58" s="151"/>
      <c r="J58" s="151"/>
      <c r="K58" s="151"/>
      <c r="L58" s="151"/>
      <c r="M58" s="151"/>
      <c r="N58" s="151"/>
      <c r="O58" s="151"/>
      <c r="P58" s="151"/>
      <c r="Q58" s="151"/>
      <c r="R58" s="151"/>
      <c r="S58" s="151"/>
      <c r="T58" s="151"/>
      <c r="U58" s="151"/>
      <c r="V58" s="151"/>
      <c r="W58" s="151"/>
      <c r="X58" s="151"/>
      <c r="Y58" s="151"/>
      <c r="Z58" s="151"/>
      <c r="AA58" s="151"/>
      <c r="AB58" s="151"/>
      <c r="AC58" s="151"/>
      <c r="AD58" s="151"/>
      <c r="AE58" s="151"/>
      <c r="AF58" s="151"/>
      <c r="AG58" s="151"/>
      <c r="AH58" s="151"/>
      <c r="AI58" s="151"/>
      <c r="AJ58" s="151"/>
      <c r="AK58" s="151"/>
      <c r="AL58" s="151"/>
      <c r="AM58" s="151"/>
      <c r="AN58" s="151"/>
      <c r="AO58" s="151"/>
      <c r="AP58" s="151"/>
      <c r="AQ58" s="151"/>
      <c r="AR58" s="151"/>
      <c r="AS58" s="151"/>
      <c r="BB58" s="24"/>
      <c r="BC58" s="154"/>
      <c r="BD58" s="154"/>
      <c r="BE58" s="155"/>
      <c r="BF58" s="24"/>
      <c r="BG58" s="156"/>
      <c r="BH58" s="30"/>
      <c r="BI58" s="157"/>
      <c r="BJ58" s="24"/>
      <c r="BK58" s="24"/>
      <c r="BL58" s="24"/>
      <c r="BM58" s="24"/>
      <c r="BN58" s="24"/>
      <c r="BO58" s="24"/>
      <c r="BP58" s="24"/>
      <c r="BQ58" s="24"/>
      <c r="BR58" s="24"/>
      <c r="BS58" s="24"/>
      <c r="BT58" s="24"/>
      <c r="BU58" s="24"/>
      <c r="BV58" s="24"/>
      <c r="BW58" s="24"/>
      <c r="BX58" s="24"/>
      <c r="BY58" s="24"/>
      <c r="BZ58" s="24"/>
      <c r="CA58" s="24"/>
      <c r="CB58" s="24"/>
      <c r="CC58" s="24"/>
      <c r="CD58" s="24"/>
      <c r="CE58" s="24"/>
      <c r="CF58" s="24"/>
      <c r="CG58" s="24"/>
      <c r="CH58" s="24"/>
      <c r="CI58" s="24"/>
      <c r="CJ58" s="32"/>
      <c r="CK58" s="24"/>
      <c r="CL58" s="24"/>
      <c r="CM58" s="24"/>
      <c r="CN58" s="32"/>
      <c r="CQ58" s="32"/>
      <c r="CS58" s="156"/>
      <c r="CT58" s="87"/>
      <c r="CV58" s="32"/>
    </row>
    <row r="59" spans="1:134" ht="23.15" customHeight="1" x14ac:dyDescent="0.3">
      <c r="D59" s="151"/>
      <c r="E59" s="151"/>
      <c r="F59" s="151"/>
      <c r="G59" s="151"/>
      <c r="H59" s="151"/>
      <c r="I59" s="151"/>
      <c r="J59" s="151"/>
      <c r="K59" s="151"/>
      <c r="L59" s="151"/>
      <c r="M59" s="151"/>
      <c r="N59" s="151"/>
      <c r="O59" s="151"/>
      <c r="P59" s="151"/>
      <c r="Q59" s="151"/>
      <c r="R59" s="151"/>
      <c r="S59" s="151"/>
      <c r="T59" s="151"/>
      <c r="U59" s="151"/>
      <c r="V59" s="151"/>
      <c r="W59" s="151"/>
      <c r="X59" s="151"/>
      <c r="Y59" s="151"/>
      <c r="Z59" s="151"/>
      <c r="AA59" s="151"/>
      <c r="AB59" s="151"/>
      <c r="AC59" s="151"/>
      <c r="AD59" s="151"/>
      <c r="AE59" s="151"/>
      <c r="AF59" s="151"/>
      <c r="AG59" s="151"/>
      <c r="AH59" s="151"/>
      <c r="AI59" s="151"/>
      <c r="AJ59" s="151"/>
      <c r="AK59" s="151"/>
      <c r="AL59" s="151"/>
      <c r="AM59" s="151"/>
      <c r="AN59" s="151"/>
      <c r="AO59" s="151"/>
      <c r="AP59" s="151"/>
      <c r="AQ59" s="151"/>
      <c r="AR59" s="151"/>
      <c r="AS59" s="151"/>
      <c r="BB59" s="24"/>
      <c r="BC59" s="154"/>
      <c r="BD59" s="154"/>
      <c r="BE59" s="155"/>
      <c r="BF59" s="24"/>
      <c r="BG59" s="156"/>
      <c r="BH59" s="30"/>
      <c r="BI59" s="158"/>
      <c r="BJ59" s="24"/>
      <c r="BK59" s="24"/>
      <c r="BL59" s="24"/>
      <c r="BM59" s="24"/>
      <c r="BN59" s="24"/>
      <c r="BO59" s="24"/>
      <c r="BP59" s="24"/>
      <c r="BQ59" s="24"/>
      <c r="BR59" s="24"/>
      <c r="BS59" s="24"/>
      <c r="BT59" s="24"/>
      <c r="BU59" s="24"/>
      <c r="BV59" s="24"/>
      <c r="BW59" s="24"/>
      <c r="BX59" s="24"/>
      <c r="BY59" s="24"/>
      <c r="BZ59" s="24"/>
      <c r="CA59" s="24"/>
      <c r="CB59" s="24"/>
      <c r="CC59" s="24"/>
      <c r="CD59" s="24"/>
      <c r="CE59" s="24"/>
      <c r="CF59" s="24"/>
      <c r="CG59" s="24"/>
      <c r="CH59" s="24"/>
      <c r="CI59" s="24"/>
      <c r="CJ59" s="24"/>
      <c r="CK59" s="24"/>
      <c r="CL59" s="24"/>
      <c r="CM59" s="24"/>
      <c r="CN59" s="24"/>
      <c r="CO59" s="24"/>
      <c r="CP59" s="24"/>
      <c r="CQ59" s="24"/>
      <c r="CS59" s="156"/>
      <c r="CT59" s="87"/>
    </row>
    <row r="60" spans="1:134" ht="23.25" customHeight="1" x14ac:dyDescent="0.3">
      <c r="D60" s="151"/>
      <c r="E60" s="151"/>
      <c r="F60" s="151"/>
      <c r="G60" s="151"/>
      <c r="H60" s="151"/>
      <c r="I60" s="151"/>
      <c r="J60" s="151"/>
      <c r="K60" s="151"/>
      <c r="L60" s="151"/>
      <c r="M60" s="151"/>
      <c r="N60" s="151"/>
      <c r="O60" s="151"/>
      <c r="P60" s="151"/>
      <c r="Q60" s="151"/>
      <c r="R60" s="151"/>
      <c r="S60" s="151"/>
      <c r="T60" s="151"/>
      <c r="U60" s="151"/>
      <c r="V60" s="151"/>
      <c r="W60" s="151"/>
      <c r="X60" s="151"/>
      <c r="Y60" s="151"/>
      <c r="Z60" s="151"/>
      <c r="AA60" s="151"/>
      <c r="AB60" s="151"/>
      <c r="AC60" s="151"/>
      <c r="AD60" s="151"/>
      <c r="AE60" s="151"/>
      <c r="AF60" s="151"/>
      <c r="AG60" s="151"/>
      <c r="AH60" s="151"/>
      <c r="AI60" s="151"/>
      <c r="AJ60" s="151"/>
      <c r="AK60" s="151"/>
      <c r="AL60" s="151"/>
      <c r="AM60" s="151"/>
      <c r="AN60" s="151"/>
      <c r="AO60" s="151"/>
      <c r="AP60" s="151"/>
      <c r="AQ60" s="151"/>
      <c r="AR60" s="151"/>
      <c r="AS60" s="151"/>
      <c r="BB60" s="24"/>
      <c r="BC60" s="159"/>
      <c r="BD60" s="159"/>
      <c r="BE60" s="155"/>
      <c r="BF60" s="24"/>
      <c r="BG60" s="160"/>
      <c r="BH60" s="68"/>
      <c r="BI60" s="161"/>
      <c r="BJ60" s="24"/>
      <c r="BK60" s="24"/>
      <c r="BL60" s="24"/>
      <c r="BM60" s="24"/>
      <c r="BN60" s="24"/>
      <c r="BO60" s="24"/>
      <c r="BP60" s="24"/>
      <c r="BQ60" s="24"/>
      <c r="BR60" s="24"/>
      <c r="BS60" s="24"/>
      <c r="BT60" s="24"/>
      <c r="BU60" s="24"/>
      <c r="BV60" s="24"/>
      <c r="BW60" s="24"/>
      <c r="BX60" s="24"/>
      <c r="BY60" s="24"/>
      <c r="BZ60" s="24"/>
      <c r="CA60" s="24"/>
      <c r="CB60" s="24"/>
      <c r="CC60" s="24"/>
      <c r="CD60" s="24"/>
      <c r="CE60" s="24"/>
      <c r="CF60" s="24"/>
      <c r="CG60" s="24"/>
      <c r="CH60" s="24"/>
      <c r="CI60" s="24"/>
      <c r="CJ60" s="32"/>
      <c r="CK60" s="24"/>
      <c r="CL60" s="24"/>
      <c r="CM60" s="24"/>
      <c r="CN60" s="32"/>
      <c r="CQ60" s="32"/>
      <c r="CS60" s="160"/>
      <c r="CT60" s="87"/>
      <c r="CV60" s="32"/>
    </row>
    <row r="61" spans="1:134" ht="17.5" customHeight="1" x14ac:dyDescent="0.3">
      <c r="D61" s="151"/>
      <c r="E61" s="151"/>
      <c r="F61" s="151"/>
      <c r="G61" s="151"/>
      <c r="H61" s="151"/>
      <c r="I61" s="151"/>
      <c r="J61" s="151"/>
      <c r="K61" s="151"/>
      <c r="L61" s="151"/>
      <c r="M61" s="151"/>
      <c r="N61" s="151"/>
      <c r="O61" s="151"/>
      <c r="P61" s="151"/>
      <c r="Q61" s="151"/>
      <c r="R61" s="151"/>
      <c r="S61" s="151"/>
      <c r="T61" s="151"/>
      <c r="U61" s="151"/>
      <c r="V61" s="151"/>
      <c r="W61" s="151"/>
      <c r="X61" s="151"/>
      <c r="Y61" s="151"/>
      <c r="Z61" s="151"/>
      <c r="AA61" s="151"/>
      <c r="AB61" s="151"/>
      <c r="AC61" s="151"/>
      <c r="AD61" s="151"/>
      <c r="AE61" s="151"/>
      <c r="AF61" s="151"/>
      <c r="AG61" s="151"/>
      <c r="AH61" s="151"/>
      <c r="AI61" s="151"/>
      <c r="AJ61" s="151"/>
      <c r="AK61" s="151"/>
      <c r="AL61" s="151"/>
      <c r="AM61" s="151"/>
      <c r="AN61" s="151"/>
      <c r="AO61" s="151"/>
      <c r="AP61" s="151"/>
      <c r="AQ61" s="151"/>
      <c r="AR61" s="151"/>
      <c r="AS61" s="151"/>
      <c r="BB61" s="24"/>
      <c r="BC61" s="162"/>
      <c r="BD61" s="162"/>
      <c r="BE61" s="155"/>
      <c r="BF61" s="24"/>
      <c r="BG61" s="163"/>
      <c r="BH61" s="30"/>
      <c r="BI61" s="161"/>
      <c r="BJ61" s="24"/>
      <c r="BK61" s="24"/>
      <c r="BL61" s="24"/>
      <c r="BM61" s="24"/>
      <c r="BN61" s="24"/>
      <c r="BO61" s="24"/>
      <c r="BP61" s="24"/>
      <c r="BQ61" s="24"/>
      <c r="BR61" s="24"/>
      <c r="BS61" s="24"/>
      <c r="BT61" s="24"/>
      <c r="BU61" s="24"/>
      <c r="BV61" s="24"/>
      <c r="BW61" s="24"/>
      <c r="BX61" s="24"/>
      <c r="BY61" s="24"/>
      <c r="BZ61" s="24"/>
      <c r="CA61" s="24"/>
      <c r="CB61" s="24"/>
      <c r="CC61" s="24"/>
      <c r="CD61" s="24"/>
      <c r="CE61" s="24"/>
      <c r="CF61" s="24"/>
      <c r="CG61" s="24"/>
      <c r="CH61" s="24"/>
      <c r="CI61" s="24"/>
      <c r="CJ61" s="32"/>
      <c r="CK61" s="24"/>
      <c r="CL61" s="24"/>
      <c r="CM61" s="24"/>
      <c r="CN61" s="32"/>
      <c r="CQ61" s="32"/>
      <c r="CS61" s="163"/>
      <c r="CT61" s="87"/>
      <c r="CV61" s="32"/>
      <c r="CZ61" s="49"/>
      <c r="DA61" s="49"/>
      <c r="DB61" s="49"/>
      <c r="DC61" s="49"/>
      <c r="DD61" s="49"/>
      <c r="DE61" s="49"/>
      <c r="DF61" s="49"/>
      <c r="DG61" s="49"/>
      <c r="DH61" s="49"/>
      <c r="DI61" s="49"/>
      <c r="DJ61" s="49"/>
      <c r="DK61" s="49"/>
      <c r="DL61" s="49"/>
      <c r="DM61" s="49"/>
      <c r="DN61" s="49"/>
      <c r="DO61" s="49"/>
      <c r="DP61" s="49"/>
      <c r="DQ61" s="49"/>
      <c r="DR61" s="49"/>
      <c r="DS61" s="49"/>
      <c r="DT61" s="49"/>
      <c r="DU61" s="49"/>
      <c r="DV61" s="49"/>
      <c r="DW61" s="49"/>
      <c r="DX61" s="49"/>
      <c r="DY61" s="49"/>
      <c r="DZ61" s="49"/>
      <c r="EA61" s="49"/>
      <c r="EB61" s="49"/>
      <c r="EC61" s="49"/>
      <c r="ED61" s="49"/>
    </row>
    <row r="62" spans="1:134" ht="16.5" customHeight="1" x14ac:dyDescent="0.3">
      <c r="D62" s="151"/>
      <c r="E62" s="151"/>
      <c r="F62" s="151"/>
      <c r="G62" s="151"/>
      <c r="H62" s="151"/>
      <c r="I62" s="151"/>
      <c r="J62" s="151"/>
      <c r="K62" s="151"/>
      <c r="L62" s="151"/>
      <c r="M62" s="151"/>
      <c r="N62" s="151"/>
      <c r="O62" s="151"/>
      <c r="P62" s="151"/>
      <c r="Q62" s="151"/>
      <c r="R62" s="151"/>
      <c r="S62" s="151"/>
      <c r="T62" s="151"/>
      <c r="U62" s="151"/>
      <c r="V62" s="151"/>
      <c r="W62" s="151"/>
      <c r="X62" s="151"/>
      <c r="Y62" s="151"/>
      <c r="Z62" s="151"/>
      <c r="AA62" s="151"/>
      <c r="AB62" s="151"/>
      <c r="AC62" s="151"/>
      <c r="AD62" s="151"/>
      <c r="AE62" s="151"/>
      <c r="AF62" s="151"/>
      <c r="AG62" s="151"/>
      <c r="AH62" s="151"/>
      <c r="AI62" s="151"/>
      <c r="AJ62" s="151"/>
      <c r="AK62" s="151"/>
      <c r="AL62" s="151"/>
      <c r="AM62" s="151"/>
      <c r="AN62" s="151"/>
      <c r="AO62" s="151"/>
      <c r="AP62" s="151"/>
      <c r="AQ62" s="151"/>
      <c r="AR62" s="151"/>
      <c r="AS62" s="151"/>
      <c r="BB62" s="24"/>
      <c r="BC62" s="164"/>
      <c r="BD62" s="164"/>
      <c r="BE62" s="43"/>
      <c r="BF62" s="24"/>
      <c r="BG62" s="165"/>
      <c r="BH62" s="68"/>
      <c r="BI62" s="166"/>
      <c r="BJ62" s="24"/>
      <c r="BK62" s="24"/>
      <c r="BL62" s="24"/>
      <c r="BM62" s="24"/>
      <c r="BN62" s="24"/>
      <c r="BO62" s="24"/>
      <c r="BP62" s="24"/>
      <c r="BQ62" s="24"/>
      <c r="BR62" s="24"/>
      <c r="BS62" s="24"/>
      <c r="BT62" s="24"/>
      <c r="BU62" s="24"/>
      <c r="BV62" s="24"/>
      <c r="BW62" s="24"/>
      <c r="BX62" s="24"/>
      <c r="BY62" s="24"/>
      <c r="BZ62" s="24"/>
      <c r="CA62" s="24"/>
      <c r="CB62" s="24"/>
      <c r="CC62" s="24"/>
      <c r="CD62" s="24"/>
      <c r="CE62" s="24"/>
      <c r="CF62" s="24"/>
      <c r="CG62" s="24"/>
      <c r="CH62" s="24"/>
      <c r="CI62" s="24"/>
      <c r="CJ62" s="24"/>
      <c r="CK62" s="24"/>
      <c r="CL62" s="24"/>
      <c r="CM62" s="24"/>
      <c r="CN62" s="24"/>
      <c r="CO62" s="24"/>
      <c r="CP62" s="24"/>
      <c r="CQ62" s="24"/>
      <c r="CS62" s="165"/>
      <c r="CT62" s="87"/>
      <c r="CU62" s="32"/>
      <c r="CZ62" s="49"/>
      <c r="DA62" s="49"/>
      <c r="DB62" s="49"/>
      <c r="DC62" s="49"/>
      <c r="DD62" s="49"/>
      <c r="DE62" s="49"/>
      <c r="DF62" s="49"/>
      <c r="DG62" s="49"/>
      <c r="DH62" s="49"/>
      <c r="DI62" s="49"/>
      <c r="DJ62" s="49"/>
      <c r="DK62" s="49"/>
      <c r="DL62" s="49"/>
      <c r="DM62" s="49"/>
      <c r="DN62" s="49"/>
      <c r="DO62" s="49"/>
      <c r="DP62" s="49"/>
      <c r="DQ62" s="49"/>
      <c r="DR62" s="49"/>
      <c r="DS62" s="49"/>
      <c r="DT62" s="49"/>
      <c r="DU62" s="49"/>
      <c r="DV62" s="49"/>
      <c r="DW62" s="49"/>
      <c r="DX62" s="49"/>
      <c r="DY62" s="49"/>
      <c r="DZ62" s="49"/>
      <c r="EA62" s="49"/>
      <c r="EB62" s="49"/>
      <c r="EC62" s="49"/>
      <c r="ED62" s="49"/>
    </row>
    <row r="63" spans="1:134" ht="17" x14ac:dyDescent="0.3">
      <c r="D63" s="151"/>
      <c r="E63" s="151"/>
      <c r="F63" s="151"/>
      <c r="G63" s="151"/>
      <c r="H63" s="151"/>
      <c r="I63" s="151"/>
      <c r="J63" s="151"/>
      <c r="K63" s="151"/>
      <c r="L63" s="151"/>
      <c r="M63" s="151"/>
      <c r="N63" s="151"/>
      <c r="O63" s="151"/>
      <c r="P63" s="151"/>
      <c r="Q63" s="151"/>
      <c r="R63" s="151"/>
      <c r="S63" s="151"/>
      <c r="T63" s="151"/>
      <c r="U63" s="151"/>
      <c r="V63" s="151"/>
      <c r="W63" s="151"/>
      <c r="X63" s="151"/>
      <c r="Y63" s="151"/>
      <c r="Z63" s="151"/>
      <c r="AA63" s="151"/>
      <c r="AB63" s="151"/>
      <c r="AC63" s="151"/>
      <c r="AD63" s="151"/>
      <c r="AE63" s="151"/>
      <c r="AF63" s="151"/>
      <c r="AG63" s="151"/>
      <c r="AH63" s="151"/>
      <c r="AI63" s="151"/>
      <c r="AJ63" s="151"/>
      <c r="AK63" s="151"/>
      <c r="AL63" s="151"/>
      <c r="AM63" s="151"/>
      <c r="AN63" s="151"/>
      <c r="AO63" s="151"/>
      <c r="AP63" s="151"/>
      <c r="AQ63" s="151"/>
      <c r="AR63" s="151"/>
      <c r="AS63" s="151"/>
      <c r="BB63" s="24"/>
      <c r="BC63" s="132"/>
      <c r="BD63" s="132"/>
      <c r="BE63" s="133"/>
      <c r="BF63" s="24"/>
      <c r="BG63" s="134"/>
      <c r="BH63" s="68"/>
      <c r="BI63" s="167"/>
      <c r="BJ63" s="24"/>
      <c r="BK63" s="24"/>
      <c r="BL63" s="24"/>
      <c r="BM63" s="24"/>
      <c r="BN63" s="24"/>
      <c r="BO63" s="24"/>
      <c r="BP63" s="24"/>
      <c r="BQ63" s="24"/>
      <c r="BR63" s="24"/>
      <c r="BS63" s="24"/>
      <c r="BT63" s="24"/>
      <c r="BU63" s="24"/>
      <c r="BV63" s="24"/>
      <c r="BW63" s="24"/>
      <c r="BX63" s="24"/>
      <c r="BY63" s="24"/>
      <c r="BZ63" s="24"/>
      <c r="CA63" s="24"/>
      <c r="CB63" s="24"/>
      <c r="CC63" s="24"/>
      <c r="CD63" s="24"/>
      <c r="CE63" s="24"/>
      <c r="CF63" s="24"/>
      <c r="CG63" s="24"/>
      <c r="CH63" s="24"/>
      <c r="CI63" s="24"/>
      <c r="CJ63" s="32"/>
      <c r="CK63" s="32"/>
      <c r="CL63" s="32"/>
      <c r="CM63" s="32"/>
      <c r="CN63" s="32"/>
      <c r="CQ63" s="32"/>
      <c r="CS63" s="134"/>
      <c r="CT63" s="87"/>
      <c r="CV63" s="32"/>
      <c r="CZ63" s="49"/>
      <c r="DA63" s="49"/>
      <c r="DB63" s="49"/>
      <c r="DC63" s="49"/>
      <c r="DD63" s="49"/>
      <c r="DE63" s="49"/>
      <c r="DF63" s="49"/>
      <c r="DG63" s="49"/>
      <c r="DH63" s="49"/>
      <c r="DI63" s="49"/>
      <c r="DJ63" s="49"/>
      <c r="DK63" s="49"/>
      <c r="DL63" s="49"/>
      <c r="DM63" s="49"/>
      <c r="DN63" s="49"/>
      <c r="DO63" s="49"/>
      <c r="DP63" s="49"/>
      <c r="DQ63" s="49"/>
      <c r="DR63" s="49"/>
      <c r="DS63" s="49"/>
      <c r="DT63" s="49"/>
      <c r="DU63" s="49"/>
      <c r="DV63" s="49"/>
      <c r="DW63" s="49"/>
      <c r="DX63" s="49"/>
      <c r="DY63" s="49"/>
      <c r="DZ63" s="49"/>
      <c r="EA63" s="49"/>
      <c r="EB63" s="49"/>
      <c r="EC63" s="49"/>
      <c r="ED63" s="49"/>
    </row>
    <row r="64" spans="1:134" ht="72.75" customHeight="1" x14ac:dyDescent="0.3">
      <c r="D64" s="151"/>
      <c r="E64" s="151"/>
      <c r="F64" s="151"/>
      <c r="G64" s="151"/>
      <c r="H64" s="151"/>
      <c r="I64" s="151"/>
      <c r="J64" s="151"/>
      <c r="K64" s="151"/>
      <c r="L64" s="151"/>
      <c r="M64" s="151"/>
      <c r="N64" s="151"/>
      <c r="O64" s="151"/>
      <c r="P64" s="151"/>
      <c r="Q64" s="151"/>
      <c r="R64" s="151"/>
      <c r="S64" s="151"/>
      <c r="T64" s="151"/>
      <c r="U64" s="151"/>
      <c r="V64" s="151"/>
      <c r="W64" s="151"/>
      <c r="X64" s="151"/>
      <c r="Y64" s="151"/>
      <c r="Z64" s="151"/>
      <c r="AA64" s="151"/>
      <c r="AB64" s="151"/>
      <c r="AC64" s="151"/>
      <c r="AD64" s="151"/>
      <c r="AE64" s="151"/>
      <c r="AF64" s="151"/>
      <c r="AG64" s="151"/>
      <c r="AH64" s="151"/>
      <c r="AI64" s="151"/>
      <c r="AJ64" s="151"/>
      <c r="AK64" s="151"/>
      <c r="AL64" s="151"/>
      <c r="AM64" s="151"/>
      <c r="AN64" s="151"/>
      <c r="AO64" s="151"/>
      <c r="AP64" s="151"/>
      <c r="AQ64" s="151"/>
      <c r="AR64" s="151"/>
      <c r="AS64" s="151"/>
      <c r="BB64" s="24"/>
      <c r="BC64" s="132"/>
      <c r="BD64" s="132"/>
      <c r="BE64" s="133"/>
      <c r="BF64" s="24"/>
      <c r="BG64" s="134"/>
      <c r="BH64" s="68"/>
      <c r="BI64" s="167"/>
      <c r="BJ64" s="24"/>
      <c r="BK64" s="24"/>
      <c r="BL64" s="24"/>
      <c r="BM64" s="24"/>
      <c r="BN64" s="24"/>
      <c r="BO64" s="24"/>
      <c r="BP64" s="24"/>
      <c r="BQ64" s="24"/>
      <c r="BR64" s="24"/>
      <c r="BS64" s="24"/>
      <c r="BT64" s="24"/>
      <c r="BU64" s="24"/>
      <c r="BV64" s="24"/>
      <c r="BW64" s="24"/>
      <c r="BX64" s="24"/>
      <c r="BY64" s="24"/>
      <c r="BZ64" s="24"/>
      <c r="CA64" s="24"/>
      <c r="CB64" s="24"/>
      <c r="CC64" s="24"/>
      <c r="CD64" s="24"/>
      <c r="CE64" s="24"/>
      <c r="CF64" s="24"/>
      <c r="CG64" s="24"/>
      <c r="CH64" s="24"/>
      <c r="CI64" s="24"/>
      <c r="CJ64" s="24"/>
      <c r="CK64" s="24"/>
      <c r="CL64" s="24"/>
      <c r="CM64" s="24"/>
      <c r="CN64" s="24"/>
      <c r="CO64" s="24"/>
      <c r="CP64" s="24"/>
      <c r="CQ64" s="24"/>
      <c r="CS64" s="134"/>
      <c r="CT64" s="87"/>
      <c r="CV64" s="32"/>
      <c r="CZ64" s="49"/>
      <c r="DA64" s="49"/>
      <c r="DB64" s="49"/>
      <c r="DC64" s="49"/>
      <c r="DD64" s="49"/>
      <c r="DE64" s="49"/>
      <c r="DF64" s="49"/>
      <c r="DG64" s="49"/>
      <c r="DH64" s="49"/>
      <c r="DI64" s="49"/>
      <c r="DJ64" s="49"/>
      <c r="DK64" s="49"/>
      <c r="DL64" s="49"/>
      <c r="DM64" s="49"/>
      <c r="DN64" s="49"/>
      <c r="DO64" s="49"/>
      <c r="DP64" s="49"/>
      <c r="DQ64" s="49"/>
      <c r="DR64" s="49"/>
      <c r="DS64" s="49"/>
      <c r="DT64" s="49"/>
      <c r="DU64" s="49"/>
      <c r="DV64" s="49"/>
      <c r="DW64" s="49"/>
      <c r="DX64" s="49"/>
      <c r="DY64" s="49"/>
      <c r="DZ64" s="49"/>
      <c r="EA64" s="49"/>
      <c r="EB64" s="49"/>
      <c r="EC64" s="49"/>
      <c r="ED64" s="49"/>
    </row>
    <row r="65" spans="4:134" ht="17" x14ac:dyDescent="0.3">
      <c r="D65" s="151"/>
      <c r="E65" s="151"/>
      <c r="F65" s="151"/>
      <c r="G65" s="151"/>
      <c r="H65" s="151"/>
      <c r="I65" s="151"/>
      <c r="J65" s="151"/>
      <c r="K65" s="151"/>
      <c r="L65" s="151"/>
      <c r="M65" s="151"/>
      <c r="N65" s="151"/>
      <c r="O65" s="151"/>
      <c r="P65" s="151"/>
      <c r="Q65" s="151"/>
      <c r="R65" s="151"/>
      <c r="S65" s="151"/>
      <c r="T65" s="151"/>
      <c r="U65" s="151"/>
      <c r="V65" s="151"/>
      <c r="W65" s="151"/>
      <c r="X65" s="151"/>
      <c r="Y65" s="151"/>
      <c r="Z65" s="151"/>
      <c r="AA65" s="151"/>
      <c r="AB65" s="151"/>
      <c r="AC65" s="151"/>
      <c r="AD65" s="151"/>
      <c r="AE65" s="151"/>
      <c r="AF65" s="151"/>
      <c r="AG65" s="151"/>
      <c r="AH65" s="151"/>
      <c r="AI65" s="151"/>
      <c r="AJ65" s="151"/>
      <c r="AK65" s="151"/>
      <c r="AL65" s="151"/>
      <c r="AM65" s="151"/>
      <c r="AN65" s="151"/>
      <c r="AO65" s="151"/>
      <c r="AP65" s="151"/>
      <c r="AQ65" s="151"/>
      <c r="AR65" s="151"/>
      <c r="AS65" s="151"/>
      <c r="BB65" s="24"/>
      <c r="BC65" s="132"/>
      <c r="BD65" s="132"/>
      <c r="BE65" s="133"/>
      <c r="BF65" s="24"/>
      <c r="BG65" s="134"/>
      <c r="BH65" s="68"/>
      <c r="BI65" s="168"/>
      <c r="BJ65" s="24"/>
      <c r="BK65" s="24"/>
      <c r="BL65" s="24"/>
      <c r="BM65" s="24"/>
      <c r="BN65" s="24"/>
      <c r="BO65" s="24"/>
      <c r="BP65" s="24"/>
      <c r="BQ65" s="24"/>
      <c r="BR65" s="24"/>
      <c r="BS65" s="24"/>
      <c r="BT65" s="24"/>
      <c r="BU65" s="24"/>
      <c r="BV65" s="24"/>
      <c r="BW65" s="24"/>
      <c r="BX65" s="24"/>
      <c r="BY65" s="24"/>
      <c r="BZ65" s="24"/>
      <c r="CA65" s="24"/>
      <c r="CB65" s="24"/>
      <c r="CC65" s="24"/>
      <c r="CD65" s="24"/>
      <c r="CE65" s="24"/>
      <c r="CF65" s="24"/>
      <c r="CG65" s="24"/>
      <c r="CH65" s="24"/>
      <c r="CI65" s="24"/>
      <c r="CJ65" s="32"/>
      <c r="CK65" s="24"/>
      <c r="CL65" s="24"/>
      <c r="CM65" s="24"/>
      <c r="CN65" s="32"/>
      <c r="CQ65" s="32"/>
      <c r="CS65" s="134"/>
      <c r="CT65" s="87"/>
      <c r="CV65" s="32"/>
      <c r="CZ65" s="49"/>
      <c r="DA65" s="49"/>
      <c r="DB65" s="49"/>
      <c r="DC65" s="49"/>
      <c r="DD65" s="49"/>
      <c r="DE65" s="49"/>
      <c r="DF65" s="49"/>
      <c r="DG65" s="49"/>
      <c r="DH65" s="49"/>
      <c r="DI65" s="49"/>
      <c r="DJ65" s="49"/>
      <c r="DK65" s="49"/>
      <c r="DL65" s="49"/>
      <c r="DM65" s="49"/>
      <c r="DN65" s="49"/>
      <c r="DO65" s="49"/>
      <c r="DP65" s="49"/>
      <c r="DQ65" s="49"/>
      <c r="DR65" s="49"/>
      <c r="DS65" s="49"/>
      <c r="DT65" s="49"/>
      <c r="DU65" s="49"/>
      <c r="DV65" s="49"/>
      <c r="DW65" s="49"/>
      <c r="DX65" s="49"/>
      <c r="DY65" s="49"/>
      <c r="DZ65" s="49"/>
      <c r="EA65" s="49"/>
      <c r="EB65" s="49"/>
      <c r="EC65" s="49"/>
      <c r="ED65" s="49"/>
    </row>
    <row r="66" spans="4:134" x14ac:dyDescent="0.3">
      <c r="D66" s="151"/>
      <c r="E66" s="151"/>
      <c r="F66" s="151"/>
      <c r="G66" s="151"/>
      <c r="H66" s="151"/>
      <c r="I66" s="151"/>
      <c r="J66" s="151"/>
      <c r="K66" s="151"/>
      <c r="L66" s="151"/>
      <c r="M66" s="151"/>
      <c r="N66" s="151"/>
      <c r="O66" s="151"/>
      <c r="P66" s="151"/>
      <c r="Q66" s="151"/>
      <c r="R66" s="151"/>
      <c r="S66" s="151"/>
      <c r="T66" s="151"/>
      <c r="U66" s="151"/>
      <c r="V66" s="151"/>
      <c r="W66" s="151"/>
      <c r="X66" s="151"/>
      <c r="Y66" s="151"/>
      <c r="Z66" s="151"/>
      <c r="AA66" s="151"/>
      <c r="AB66" s="151"/>
      <c r="AC66" s="151"/>
      <c r="AD66" s="151"/>
      <c r="AE66" s="151"/>
      <c r="AF66" s="151"/>
      <c r="AG66" s="151"/>
      <c r="AH66" s="151"/>
      <c r="AI66" s="151"/>
      <c r="AJ66" s="151"/>
      <c r="AK66" s="151"/>
      <c r="AL66" s="151"/>
      <c r="AM66" s="151"/>
      <c r="AN66" s="151"/>
      <c r="AO66" s="151"/>
      <c r="AP66" s="151"/>
      <c r="AQ66" s="151"/>
      <c r="AR66" s="151"/>
      <c r="AS66" s="151"/>
      <c r="BB66" s="24"/>
      <c r="BC66" s="169"/>
      <c r="BD66" s="169"/>
      <c r="BE66" s="170"/>
      <c r="BF66" s="24"/>
      <c r="BG66" s="171"/>
      <c r="BH66" s="68"/>
      <c r="BI66" s="168"/>
      <c r="BJ66" s="24"/>
      <c r="BK66" s="24"/>
      <c r="BL66" s="24"/>
      <c r="BM66" s="24"/>
      <c r="BN66" s="24"/>
      <c r="BO66" s="24"/>
      <c r="BP66" s="24"/>
      <c r="BQ66" s="24"/>
      <c r="BR66" s="24"/>
      <c r="BS66" s="24"/>
      <c r="BT66" s="24"/>
      <c r="BU66" s="24"/>
      <c r="BV66" s="24"/>
      <c r="BW66" s="24"/>
      <c r="BX66" s="24"/>
      <c r="BY66" s="24"/>
      <c r="BZ66" s="24"/>
      <c r="CA66" s="24"/>
      <c r="CB66" s="24"/>
      <c r="CC66" s="24"/>
      <c r="CD66" s="24"/>
      <c r="CE66" s="24"/>
      <c r="CF66" s="24"/>
      <c r="CG66" s="24"/>
      <c r="CH66" s="24"/>
      <c r="CI66" s="24"/>
      <c r="CJ66" s="24"/>
      <c r="CK66" s="24"/>
      <c r="CL66" s="24"/>
      <c r="CM66" s="24"/>
      <c r="CN66" s="24"/>
      <c r="CO66" s="24"/>
      <c r="CP66" s="24"/>
      <c r="CQ66" s="24"/>
      <c r="CS66" s="171"/>
      <c r="CT66" s="87"/>
      <c r="CV66" s="32"/>
    </row>
    <row r="67" spans="4:134" x14ac:dyDescent="0.3">
      <c r="D67" s="151"/>
      <c r="E67" s="151"/>
      <c r="F67" s="151"/>
      <c r="G67" s="151"/>
      <c r="H67" s="151"/>
      <c r="I67" s="151"/>
      <c r="J67" s="151"/>
      <c r="K67" s="151"/>
      <c r="L67" s="151"/>
      <c r="M67" s="151"/>
      <c r="N67" s="151"/>
      <c r="O67" s="151"/>
      <c r="P67" s="151"/>
      <c r="Q67" s="151"/>
      <c r="R67" s="151"/>
      <c r="S67" s="151"/>
      <c r="T67" s="151"/>
      <c r="U67" s="151"/>
      <c r="V67" s="151"/>
      <c r="W67" s="151"/>
      <c r="X67" s="151"/>
      <c r="Y67" s="151"/>
      <c r="Z67" s="151"/>
      <c r="AA67" s="151"/>
      <c r="AB67" s="151"/>
      <c r="AC67" s="151"/>
      <c r="AD67" s="151"/>
      <c r="AE67" s="151"/>
      <c r="AF67" s="151"/>
      <c r="AG67" s="151"/>
      <c r="AH67" s="151"/>
      <c r="AI67" s="151"/>
      <c r="AJ67" s="151"/>
      <c r="AK67" s="151"/>
      <c r="AL67" s="151"/>
      <c r="AM67" s="151"/>
      <c r="AN67" s="151"/>
      <c r="AO67" s="151"/>
      <c r="AP67" s="151"/>
      <c r="AQ67" s="151"/>
      <c r="AR67" s="151"/>
      <c r="AS67" s="151"/>
      <c r="BB67" s="24"/>
      <c r="BC67" s="132"/>
      <c r="BD67" s="132"/>
      <c r="BE67" s="133"/>
      <c r="BF67" s="24"/>
      <c r="BG67" s="134"/>
      <c r="BH67" s="30"/>
      <c r="BI67" s="172"/>
      <c r="BJ67" s="24"/>
      <c r="BK67" s="24"/>
      <c r="BL67" s="24"/>
      <c r="BM67" s="24"/>
      <c r="BN67" s="24"/>
      <c r="BO67" s="24"/>
      <c r="BP67" s="24"/>
      <c r="BQ67" s="24"/>
      <c r="BR67" s="24"/>
      <c r="BS67" s="24"/>
      <c r="BT67" s="24"/>
      <c r="BU67" s="24"/>
      <c r="BV67" s="24"/>
      <c r="BW67" s="24"/>
      <c r="BX67" s="24"/>
      <c r="BY67" s="24"/>
      <c r="BZ67" s="24"/>
      <c r="CA67" s="24"/>
      <c r="CB67" s="24"/>
      <c r="CC67" s="24"/>
      <c r="CD67" s="24"/>
      <c r="CE67" s="24"/>
      <c r="CF67" s="24"/>
      <c r="CG67" s="24"/>
      <c r="CH67" s="24"/>
      <c r="CI67" s="24"/>
      <c r="CJ67" s="32"/>
      <c r="CK67" s="24"/>
      <c r="CL67" s="24"/>
      <c r="CM67" s="24"/>
      <c r="CN67" s="32"/>
      <c r="CQ67" s="32"/>
      <c r="CS67" s="134"/>
      <c r="CT67" s="87"/>
      <c r="CV67" s="32"/>
    </row>
    <row r="68" spans="4:134" ht="17" x14ac:dyDescent="0.3">
      <c r="D68" s="151"/>
      <c r="E68" s="151"/>
      <c r="F68" s="151"/>
      <c r="G68" s="151"/>
      <c r="H68" s="151"/>
      <c r="I68" s="151"/>
      <c r="J68" s="151"/>
      <c r="K68" s="151"/>
      <c r="L68" s="151"/>
      <c r="M68" s="151"/>
      <c r="N68" s="151"/>
      <c r="O68" s="151"/>
      <c r="P68" s="151"/>
      <c r="Q68" s="151"/>
      <c r="R68" s="151"/>
      <c r="S68" s="151"/>
      <c r="T68" s="151"/>
      <c r="U68" s="151"/>
      <c r="V68" s="151"/>
      <c r="W68" s="151"/>
      <c r="X68" s="151"/>
      <c r="Y68" s="151"/>
      <c r="Z68" s="151"/>
      <c r="AA68" s="151"/>
      <c r="AB68" s="151"/>
      <c r="AC68" s="151"/>
      <c r="AD68" s="151"/>
      <c r="AE68" s="151"/>
      <c r="AF68" s="151"/>
      <c r="AG68" s="151"/>
      <c r="AH68" s="151"/>
      <c r="AI68" s="151"/>
      <c r="AJ68" s="151"/>
      <c r="AK68" s="151"/>
      <c r="AL68" s="151"/>
      <c r="AM68" s="151"/>
      <c r="AN68" s="151"/>
      <c r="AO68" s="151"/>
      <c r="AP68" s="151"/>
      <c r="AQ68" s="151"/>
      <c r="AR68" s="151"/>
      <c r="AS68" s="151"/>
      <c r="BB68" s="24"/>
      <c r="BC68" s="132"/>
      <c r="BD68" s="132"/>
      <c r="BE68" s="133"/>
      <c r="BF68" s="24"/>
      <c r="BG68" s="134"/>
      <c r="BH68" s="30"/>
      <c r="BI68" s="172"/>
      <c r="BJ68" s="24"/>
      <c r="BK68" s="24"/>
      <c r="BL68" s="24"/>
      <c r="BM68" s="24"/>
      <c r="BN68" s="24"/>
      <c r="BO68" s="24"/>
      <c r="BP68" s="24"/>
      <c r="BQ68" s="24"/>
      <c r="BR68" s="24"/>
      <c r="BS68" s="24"/>
      <c r="BT68" s="24"/>
      <c r="BU68" s="24"/>
      <c r="BV68" s="24"/>
      <c r="BW68" s="24"/>
      <c r="BX68" s="24"/>
      <c r="BY68" s="24"/>
      <c r="BZ68" s="24"/>
      <c r="CA68" s="24"/>
      <c r="CB68" s="24"/>
      <c r="CC68" s="24"/>
      <c r="CD68" s="24"/>
      <c r="CE68" s="24"/>
      <c r="CF68" s="24"/>
      <c r="CG68" s="24"/>
      <c r="CH68" s="24"/>
      <c r="CI68" s="24"/>
      <c r="CJ68" s="24"/>
      <c r="CK68" s="24"/>
      <c r="CL68" s="24"/>
      <c r="CM68" s="24"/>
      <c r="CN68" s="24"/>
      <c r="CO68" s="24"/>
      <c r="CP68" s="24"/>
      <c r="CQ68" s="24"/>
      <c r="CS68" s="134"/>
      <c r="CT68" s="87"/>
      <c r="CV68" s="32"/>
      <c r="CW68" s="150"/>
      <c r="CZ68" s="49"/>
      <c r="DA68" s="49"/>
      <c r="DB68" s="49"/>
      <c r="DC68" s="49"/>
      <c r="DD68" s="49"/>
      <c r="DE68" s="49"/>
      <c r="DF68" s="49"/>
      <c r="DG68" s="49"/>
      <c r="DH68" s="49"/>
      <c r="DI68" s="49"/>
      <c r="DJ68" s="49"/>
      <c r="DK68" s="49"/>
      <c r="DL68" s="49"/>
      <c r="DM68" s="49"/>
      <c r="DN68" s="49"/>
      <c r="DO68" s="49"/>
      <c r="DP68" s="49"/>
      <c r="DQ68" s="49"/>
      <c r="DR68" s="49"/>
      <c r="DS68" s="49"/>
      <c r="DT68" s="49"/>
      <c r="DU68" s="49"/>
      <c r="DV68" s="49"/>
      <c r="DW68" s="49"/>
      <c r="DX68" s="49"/>
      <c r="DY68" s="49"/>
      <c r="DZ68" s="49"/>
      <c r="EA68" s="49"/>
      <c r="EB68" s="49"/>
      <c r="EC68" s="49"/>
      <c r="ED68" s="49"/>
    </row>
    <row r="69" spans="4:134" ht="19.5" customHeight="1" x14ac:dyDescent="0.3">
      <c r="D69" s="151"/>
      <c r="E69" s="151"/>
      <c r="F69" s="151"/>
      <c r="G69" s="151"/>
      <c r="H69" s="151"/>
      <c r="I69" s="151"/>
      <c r="J69" s="151"/>
      <c r="K69" s="151"/>
      <c r="L69" s="151"/>
      <c r="M69" s="151"/>
      <c r="N69" s="151"/>
      <c r="O69" s="151"/>
      <c r="P69" s="151"/>
      <c r="Q69" s="151"/>
      <c r="R69" s="151"/>
      <c r="S69" s="151"/>
      <c r="T69" s="151"/>
      <c r="U69" s="151"/>
      <c r="V69" s="151"/>
      <c r="W69" s="151"/>
      <c r="X69" s="151"/>
      <c r="Y69" s="151"/>
      <c r="Z69" s="151"/>
      <c r="AA69" s="151"/>
      <c r="AB69" s="151"/>
      <c r="AC69" s="151"/>
      <c r="AD69" s="151"/>
      <c r="AE69" s="151"/>
      <c r="AF69" s="151"/>
      <c r="AG69" s="151"/>
      <c r="AH69" s="151"/>
      <c r="AI69" s="151"/>
      <c r="AJ69" s="151"/>
      <c r="AK69" s="151"/>
      <c r="AL69" s="151"/>
      <c r="AM69" s="151"/>
      <c r="AN69" s="151"/>
      <c r="AO69" s="151"/>
      <c r="AP69" s="151"/>
      <c r="AQ69" s="151"/>
      <c r="AR69" s="151"/>
      <c r="AS69" s="151"/>
      <c r="BB69" s="24"/>
      <c r="BC69" s="27"/>
      <c r="BD69" s="27"/>
      <c r="BE69" s="28"/>
      <c r="BF69" s="24"/>
      <c r="BG69" s="29"/>
      <c r="BH69" s="68"/>
      <c r="BI69" s="168"/>
      <c r="BJ69" s="24"/>
      <c r="BK69" s="24"/>
      <c r="BL69" s="24"/>
      <c r="BM69" s="24"/>
      <c r="BN69" s="24"/>
      <c r="BO69" s="24"/>
      <c r="BP69" s="24"/>
      <c r="BQ69" s="24"/>
      <c r="BR69" s="24"/>
      <c r="BS69" s="24"/>
      <c r="BT69" s="24"/>
      <c r="BU69" s="24"/>
      <c r="BV69" s="24"/>
      <c r="BW69" s="24"/>
      <c r="BX69" s="24"/>
      <c r="BY69" s="24"/>
      <c r="BZ69" s="24"/>
      <c r="CA69" s="24"/>
      <c r="CB69" s="24"/>
      <c r="CC69" s="24"/>
      <c r="CD69" s="24"/>
      <c r="CE69" s="24"/>
      <c r="CF69" s="24"/>
      <c r="CG69" s="24"/>
      <c r="CH69" s="24"/>
      <c r="CI69" s="24"/>
      <c r="CJ69" s="24"/>
      <c r="CK69" s="24"/>
      <c r="CL69" s="24"/>
      <c r="CM69" s="24"/>
      <c r="CN69" s="24"/>
      <c r="CO69" s="24"/>
      <c r="CP69" s="24"/>
      <c r="CQ69" s="24"/>
      <c r="CS69" s="29"/>
      <c r="CT69" s="87"/>
      <c r="CV69" s="32"/>
      <c r="CZ69" s="49"/>
      <c r="DA69" s="49"/>
      <c r="DB69" s="49"/>
      <c r="DC69" s="49"/>
      <c r="DD69" s="49"/>
      <c r="DE69" s="49"/>
      <c r="DF69" s="49"/>
      <c r="DG69" s="49"/>
      <c r="DH69" s="49"/>
      <c r="DI69" s="49"/>
      <c r="DJ69" s="49"/>
      <c r="DK69" s="49"/>
      <c r="DL69" s="49"/>
      <c r="DM69" s="49"/>
      <c r="DN69" s="49"/>
      <c r="DO69" s="49"/>
      <c r="DP69" s="49"/>
      <c r="DQ69" s="49"/>
      <c r="DR69" s="49"/>
      <c r="DS69" s="49"/>
      <c r="DT69" s="49"/>
      <c r="DU69" s="49"/>
      <c r="DV69" s="49"/>
      <c r="DW69" s="49"/>
      <c r="DX69" s="49"/>
      <c r="DY69" s="49"/>
      <c r="DZ69" s="49"/>
      <c r="EA69" s="49"/>
      <c r="EB69" s="49"/>
      <c r="EC69" s="49"/>
      <c r="ED69" s="49"/>
    </row>
    <row r="70" spans="4:134" ht="24.75" customHeight="1" x14ac:dyDescent="0.3">
      <c r="BB70" s="24"/>
      <c r="BC70" s="27"/>
      <c r="BD70" s="27"/>
      <c r="BE70" s="28"/>
      <c r="BF70" s="24"/>
      <c r="BG70" s="29"/>
      <c r="BH70" s="30"/>
      <c r="BJ70" s="24"/>
      <c r="BK70" s="24"/>
      <c r="BL70" s="24"/>
      <c r="BM70" s="24"/>
      <c r="BN70" s="24"/>
      <c r="BO70" s="24"/>
      <c r="BP70" s="24"/>
      <c r="BQ70" s="24"/>
      <c r="BR70" s="24"/>
      <c r="BS70" s="24"/>
      <c r="BT70" s="24"/>
      <c r="BU70" s="24"/>
      <c r="BV70" s="24"/>
      <c r="BW70" s="24"/>
      <c r="BX70" s="24"/>
      <c r="BY70" s="24"/>
      <c r="BZ70" s="24"/>
      <c r="CA70" s="24"/>
      <c r="CB70" s="24"/>
      <c r="CC70" s="24"/>
      <c r="CD70" s="24"/>
      <c r="CE70" s="24"/>
      <c r="CF70" s="24"/>
      <c r="CG70" s="24"/>
      <c r="CH70" s="24"/>
      <c r="CI70" s="24"/>
      <c r="CJ70" s="24"/>
      <c r="CK70" s="24"/>
      <c r="CL70" s="24"/>
      <c r="CM70" s="24"/>
      <c r="CN70" s="24"/>
      <c r="CO70" s="24"/>
      <c r="CP70" s="24"/>
      <c r="CQ70" s="24"/>
      <c r="CS70" s="29"/>
      <c r="CT70" s="87"/>
      <c r="CV70" s="32"/>
      <c r="CZ70" s="49"/>
      <c r="DA70" s="49"/>
      <c r="DB70" s="49"/>
      <c r="DC70" s="49"/>
      <c r="DD70" s="49"/>
      <c r="DE70" s="49"/>
      <c r="DF70" s="49"/>
      <c r="DG70" s="49"/>
      <c r="DH70" s="49"/>
      <c r="DI70" s="49"/>
      <c r="DJ70" s="49"/>
      <c r="DK70" s="49"/>
      <c r="DL70" s="49"/>
      <c r="DM70" s="49"/>
      <c r="DN70" s="49"/>
      <c r="DO70" s="49"/>
      <c r="DP70" s="49"/>
      <c r="DQ70" s="49"/>
      <c r="DR70" s="49"/>
      <c r="DS70" s="49"/>
      <c r="DT70" s="49"/>
      <c r="DU70" s="49"/>
      <c r="DV70" s="49"/>
      <c r="DW70" s="49"/>
      <c r="DX70" s="49"/>
      <c r="DY70" s="49"/>
      <c r="DZ70" s="49"/>
      <c r="EA70" s="49"/>
      <c r="EB70" s="49"/>
      <c r="EC70" s="49"/>
      <c r="ED70" s="49"/>
    </row>
    <row r="71" spans="4:134" ht="24.75" customHeight="1" x14ac:dyDescent="0.3">
      <c r="BB71" s="32"/>
      <c r="BC71" s="27"/>
      <c r="BD71" s="27"/>
      <c r="BE71" s="28"/>
      <c r="BF71" s="32"/>
      <c r="BG71" s="29"/>
      <c r="BH71" s="30"/>
      <c r="BI71" s="31"/>
      <c r="BJ71" s="24"/>
      <c r="BK71" s="24"/>
      <c r="BL71" s="24"/>
      <c r="BM71" s="32"/>
      <c r="BN71" s="32"/>
      <c r="BO71" s="32"/>
      <c r="BP71" s="32"/>
      <c r="BQ71" s="32"/>
      <c r="BR71" s="32"/>
      <c r="BS71" s="32"/>
      <c r="BT71" s="32"/>
      <c r="BU71" s="32"/>
      <c r="BV71" s="32"/>
      <c r="BW71" s="32"/>
      <c r="BX71" s="32"/>
      <c r="BY71" s="32"/>
      <c r="BZ71" s="32"/>
      <c r="CA71" s="32"/>
      <c r="CB71" s="32"/>
      <c r="CC71" s="32"/>
      <c r="CD71" s="32"/>
      <c r="CE71" s="32"/>
      <c r="CF71" s="32"/>
      <c r="CG71" s="32"/>
      <c r="CH71" s="32"/>
      <c r="CI71" s="24"/>
      <c r="CJ71" s="32"/>
      <c r="CK71" s="24"/>
      <c r="CL71" s="24"/>
      <c r="CM71" s="24"/>
      <c r="CN71" s="32"/>
      <c r="CQ71" s="32"/>
      <c r="CS71" s="29"/>
      <c r="CT71" s="30"/>
      <c r="CV71" s="32"/>
      <c r="CW71" s="2"/>
      <c r="CZ71" s="49"/>
      <c r="DA71" s="49"/>
      <c r="DB71" s="49"/>
      <c r="DC71" s="49"/>
      <c r="DD71" s="49"/>
      <c r="DE71" s="49"/>
      <c r="DF71" s="49"/>
      <c r="DG71" s="49"/>
      <c r="DH71" s="49"/>
      <c r="DI71" s="49"/>
      <c r="DJ71" s="49"/>
      <c r="DK71" s="49"/>
      <c r="DL71" s="49"/>
      <c r="DM71" s="49"/>
      <c r="DN71" s="49"/>
      <c r="DO71" s="49"/>
      <c r="DP71" s="49"/>
      <c r="DQ71" s="49"/>
      <c r="DR71" s="49"/>
      <c r="DS71" s="49"/>
      <c r="DT71" s="49"/>
      <c r="DU71" s="49"/>
      <c r="DV71" s="49"/>
      <c r="DW71" s="49"/>
      <c r="DX71" s="49"/>
      <c r="DY71" s="49"/>
      <c r="DZ71" s="49"/>
      <c r="EA71" s="49"/>
      <c r="EB71" s="49"/>
      <c r="EC71" s="49"/>
      <c r="ED71" s="49"/>
    </row>
    <row r="72" spans="4:134" ht="24.75" customHeight="1" x14ac:dyDescent="0.3">
      <c r="BB72" s="32"/>
      <c r="BC72" s="27"/>
      <c r="BD72" s="27"/>
      <c r="BE72" s="28"/>
      <c r="BF72" s="32"/>
      <c r="BG72" s="29"/>
      <c r="BH72" s="30"/>
      <c r="BI72" s="31"/>
      <c r="BJ72" s="24"/>
      <c r="BK72" s="24"/>
      <c r="BL72" s="24"/>
      <c r="BM72" s="32"/>
      <c r="BN72" s="32"/>
      <c r="BO72" s="32"/>
      <c r="BP72" s="32"/>
      <c r="BQ72" s="32"/>
      <c r="BR72" s="32"/>
      <c r="BS72" s="32"/>
      <c r="BT72" s="32"/>
      <c r="BU72" s="32"/>
      <c r="BV72" s="32"/>
      <c r="BW72" s="32"/>
      <c r="BX72" s="32"/>
      <c r="BY72" s="32"/>
      <c r="BZ72" s="32"/>
      <c r="CA72" s="32"/>
      <c r="CB72" s="32"/>
      <c r="CC72" s="32"/>
      <c r="CD72" s="32"/>
      <c r="CE72" s="32"/>
      <c r="CF72" s="32"/>
      <c r="CG72" s="32"/>
      <c r="CH72" s="32"/>
      <c r="CI72" s="24"/>
      <c r="CJ72" s="32"/>
      <c r="CK72" s="24"/>
      <c r="CL72" s="24"/>
      <c r="CM72" s="24"/>
      <c r="CN72" s="32"/>
      <c r="CQ72" s="32"/>
      <c r="CS72" s="29"/>
      <c r="CT72" s="30"/>
      <c r="CV72" s="32"/>
      <c r="CZ72" s="49"/>
      <c r="DA72" s="49"/>
      <c r="DB72" s="49"/>
      <c r="DC72" s="49"/>
      <c r="DD72" s="49"/>
      <c r="DE72" s="49"/>
      <c r="DF72" s="49"/>
      <c r="DG72" s="49"/>
      <c r="DH72" s="49"/>
      <c r="DI72" s="49"/>
      <c r="DJ72" s="49"/>
      <c r="DK72" s="49"/>
      <c r="DL72" s="49"/>
      <c r="DM72" s="49"/>
      <c r="DN72" s="49"/>
      <c r="DO72" s="49"/>
      <c r="DP72" s="49"/>
      <c r="DQ72" s="49"/>
      <c r="DR72" s="49"/>
      <c r="DS72" s="49"/>
      <c r="DT72" s="49"/>
      <c r="DU72" s="49"/>
      <c r="DV72" s="49"/>
      <c r="DW72" s="49"/>
      <c r="DX72" s="49"/>
      <c r="DY72" s="49"/>
      <c r="DZ72" s="49"/>
      <c r="EA72" s="49"/>
      <c r="EB72" s="49"/>
      <c r="EC72" s="49"/>
      <c r="ED72" s="49"/>
    </row>
    <row r="73" spans="4:134" ht="24.65" customHeight="1" x14ac:dyDescent="0.3">
      <c r="BB73" s="32"/>
      <c r="BC73" s="27"/>
      <c r="BD73" s="27"/>
      <c r="BE73" s="28"/>
      <c r="BF73" s="32"/>
      <c r="BG73" s="29"/>
      <c r="BH73" s="30"/>
      <c r="BI73" s="31"/>
      <c r="BJ73" s="24"/>
      <c r="BK73" s="24"/>
      <c r="BL73" s="24"/>
      <c r="BM73" s="32"/>
      <c r="BN73" s="32"/>
      <c r="BO73" s="32"/>
      <c r="BP73" s="32"/>
      <c r="BQ73" s="32"/>
      <c r="BR73" s="32"/>
      <c r="BS73" s="32"/>
      <c r="BT73" s="32"/>
      <c r="BU73" s="32"/>
      <c r="BV73" s="32"/>
      <c r="BW73" s="32"/>
      <c r="BX73" s="32"/>
      <c r="BY73" s="32"/>
      <c r="BZ73" s="32"/>
      <c r="CA73" s="32"/>
      <c r="CB73" s="32"/>
      <c r="CC73" s="32"/>
      <c r="CD73" s="32"/>
      <c r="CE73" s="32"/>
      <c r="CF73" s="32"/>
      <c r="CG73" s="32"/>
      <c r="CH73" s="32"/>
      <c r="CI73" s="24"/>
      <c r="CJ73" s="32"/>
      <c r="CK73" s="24"/>
      <c r="CL73" s="24"/>
      <c r="CM73" s="24"/>
      <c r="CN73" s="32"/>
      <c r="CQ73" s="32"/>
      <c r="CS73" s="29"/>
      <c r="CT73" s="30"/>
      <c r="CV73" s="32"/>
    </row>
    <row r="74" spans="4:134" ht="24.75" customHeight="1" x14ac:dyDescent="0.3">
      <c r="BB74" s="32"/>
      <c r="BC74" s="27"/>
      <c r="BD74" s="27"/>
      <c r="BE74" s="28"/>
      <c r="BF74" s="32"/>
      <c r="BG74" s="29"/>
      <c r="BH74" s="30"/>
      <c r="BI74" s="31"/>
      <c r="BJ74" s="24"/>
      <c r="BK74" s="24"/>
      <c r="BL74" s="24"/>
      <c r="BM74" s="32"/>
      <c r="BN74" s="32"/>
      <c r="BO74" s="32"/>
      <c r="BP74" s="32"/>
      <c r="BQ74" s="32"/>
      <c r="BR74" s="32"/>
      <c r="BS74" s="32"/>
      <c r="BT74" s="32"/>
      <c r="BU74" s="32"/>
      <c r="BV74" s="32"/>
      <c r="BW74" s="32"/>
      <c r="BX74" s="32"/>
      <c r="BY74" s="32"/>
      <c r="BZ74" s="32"/>
      <c r="CA74" s="32"/>
      <c r="CB74" s="32"/>
      <c r="CC74" s="32"/>
      <c r="CD74" s="32"/>
      <c r="CE74" s="32"/>
      <c r="CF74" s="32"/>
      <c r="CG74" s="32"/>
      <c r="CH74" s="32"/>
      <c r="CI74" s="24"/>
      <c r="CJ74" s="32"/>
      <c r="CK74" s="24"/>
      <c r="CL74" s="24"/>
      <c r="CM74" s="24"/>
      <c r="CN74" s="32"/>
      <c r="CQ74" s="32"/>
      <c r="CS74" s="29"/>
      <c r="CT74" s="30"/>
      <c r="CV74" s="32"/>
    </row>
    <row r="75" spans="4:134" ht="24.75" customHeight="1" x14ac:dyDescent="0.3">
      <c r="BB75" s="24"/>
      <c r="BC75" s="132"/>
      <c r="BD75" s="132"/>
      <c r="BE75" s="133"/>
      <c r="BF75" s="6"/>
      <c r="BG75" s="134"/>
      <c r="BH75" s="68"/>
      <c r="BI75" s="173"/>
      <c r="BJ75" s="24"/>
      <c r="BK75" s="24"/>
      <c r="BL75" s="24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S75" s="134"/>
      <c r="CT75" s="68"/>
    </row>
    <row r="76" spans="4:134" ht="24.75" customHeight="1" x14ac:dyDescent="0.3">
      <c r="BB76" s="24"/>
      <c r="BC76" s="132"/>
      <c r="BD76" s="132"/>
      <c r="BE76" s="133"/>
      <c r="BF76" s="24"/>
      <c r="BG76" s="134"/>
      <c r="BH76" s="68"/>
      <c r="BI76" s="173"/>
      <c r="BJ76" s="24"/>
      <c r="BK76" s="24"/>
      <c r="BL76" s="24"/>
      <c r="BM76" s="24"/>
      <c r="BN76" s="24"/>
      <c r="BO76" s="24"/>
      <c r="BP76" s="24"/>
      <c r="BQ76" s="24"/>
      <c r="BR76" s="24"/>
      <c r="BS76" s="24"/>
      <c r="BT76" s="24"/>
      <c r="BU76" s="24"/>
      <c r="BV76" s="24"/>
      <c r="BW76" s="24"/>
      <c r="BX76" s="24"/>
      <c r="BY76" s="24"/>
      <c r="BZ76" s="24"/>
      <c r="CA76" s="24"/>
      <c r="CB76" s="24"/>
      <c r="CC76" s="24"/>
      <c r="CD76" s="24"/>
      <c r="CE76" s="24"/>
      <c r="CF76" s="24"/>
      <c r="CG76" s="24"/>
      <c r="CL76" s="24"/>
      <c r="CM76" s="24"/>
      <c r="CN76" s="32"/>
      <c r="CQ76" s="32"/>
      <c r="CS76" s="134"/>
      <c r="CT76" s="68"/>
    </row>
    <row r="77" spans="4:134" ht="24.75" customHeight="1" x14ac:dyDescent="0.3">
      <c r="BB77" s="6"/>
      <c r="BC77" s="132"/>
      <c r="BD77" s="132"/>
      <c r="BE77" s="133"/>
      <c r="BF77" s="6"/>
      <c r="BG77" s="134"/>
      <c r="BH77" s="68"/>
      <c r="BI77" s="173"/>
      <c r="BJ77" s="24"/>
      <c r="BK77" s="24"/>
      <c r="BL77" s="24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S77" s="134"/>
      <c r="CT77" s="68"/>
    </row>
    <row r="78" spans="4:134" x14ac:dyDescent="0.3">
      <c r="BC78" s="27"/>
      <c r="BD78" s="27"/>
      <c r="BE78" s="28"/>
      <c r="BG78" s="29"/>
      <c r="BH78" s="151"/>
      <c r="BI78" s="151"/>
      <c r="BK78" s="24"/>
      <c r="CS78" s="29"/>
      <c r="CT78" s="151"/>
    </row>
    <row r="79" spans="4:134" x14ac:dyDescent="0.3">
      <c r="BC79" s="27"/>
      <c r="BD79" s="27"/>
      <c r="BE79" s="28"/>
      <c r="BG79" s="29"/>
      <c r="BH79" s="151"/>
      <c r="BI79" s="151"/>
      <c r="CS79" s="29"/>
      <c r="CT79" s="151"/>
    </row>
    <row r="80" spans="4:134" x14ac:dyDescent="0.3">
      <c r="BB80" s="6"/>
      <c r="BC80" s="303"/>
      <c r="BD80" s="174"/>
      <c r="BE80" s="175"/>
      <c r="BF80" s="6"/>
      <c r="BG80" s="303"/>
      <c r="BH80" s="30"/>
      <c r="BI80" s="176"/>
      <c r="BJ80" s="32"/>
      <c r="BK80" s="32"/>
      <c r="BL80" s="32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134"/>
      <c r="CI80" s="134"/>
      <c r="CJ80" s="134"/>
      <c r="CK80" s="134"/>
      <c r="CL80" s="134"/>
      <c r="CM80" s="134"/>
      <c r="CN80" s="134"/>
      <c r="CO80" s="6"/>
      <c r="CP80" s="6"/>
      <c r="CQ80" s="134"/>
      <c r="CR80" s="6"/>
      <c r="CS80" s="303"/>
      <c r="CT80" s="30"/>
      <c r="CV80" s="134"/>
    </row>
    <row r="81" spans="1:100" ht="24.75" customHeight="1" x14ac:dyDescent="0.3">
      <c r="BB81" s="6"/>
      <c r="BC81" s="303"/>
      <c r="BD81" s="174"/>
      <c r="BE81" s="175"/>
      <c r="BF81" s="6"/>
      <c r="BG81" s="303"/>
      <c r="BH81" s="30"/>
      <c r="BI81" s="176"/>
      <c r="BJ81" s="32"/>
      <c r="BK81" s="32"/>
      <c r="BL81" s="32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/>
      <c r="CH81" s="134"/>
      <c r="CI81" s="134"/>
      <c r="CJ81" s="134"/>
      <c r="CK81" s="134"/>
      <c r="CL81" s="134"/>
      <c r="CM81" s="134"/>
      <c r="CN81" s="134"/>
      <c r="CO81" s="6"/>
      <c r="CP81" s="6"/>
      <c r="CQ81" s="134"/>
      <c r="CR81" s="6"/>
      <c r="CS81" s="303"/>
      <c r="CT81" s="30"/>
      <c r="CV81" s="134"/>
    </row>
    <row r="82" spans="1:100" ht="24.75" customHeight="1" x14ac:dyDescent="0.3">
      <c r="BB82" s="6"/>
      <c r="BC82" s="303"/>
      <c r="BD82" s="174"/>
      <c r="BE82" s="175"/>
      <c r="BF82" s="6"/>
      <c r="BG82" s="303"/>
      <c r="BH82" s="30"/>
      <c r="BI82" s="176"/>
      <c r="BJ82" s="32"/>
      <c r="BK82" s="32"/>
      <c r="BL82" s="32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134"/>
      <c r="CI82" s="134"/>
      <c r="CJ82" s="134"/>
      <c r="CK82" s="134"/>
      <c r="CL82" s="134"/>
      <c r="CM82" s="134"/>
      <c r="CN82" s="134"/>
      <c r="CO82" s="6"/>
      <c r="CP82" s="6"/>
      <c r="CQ82" s="134"/>
      <c r="CR82" s="6"/>
      <c r="CS82" s="303"/>
      <c r="CT82" s="30"/>
      <c r="CV82" s="134"/>
    </row>
    <row r="83" spans="1:100" ht="20.25" customHeight="1" x14ac:dyDescent="0.3">
      <c r="BB83" s="6"/>
      <c r="BC83" s="303"/>
      <c r="BD83" s="174"/>
      <c r="BE83" s="175"/>
      <c r="BF83" s="6"/>
      <c r="BG83" s="303"/>
      <c r="BH83" s="30"/>
      <c r="BI83" s="176"/>
      <c r="BJ83" s="32"/>
      <c r="BK83" s="32"/>
      <c r="BL83" s="32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134"/>
      <c r="CI83" s="134"/>
      <c r="CJ83" s="134"/>
      <c r="CK83" s="134"/>
      <c r="CL83" s="134"/>
      <c r="CM83" s="134"/>
      <c r="CN83" s="134"/>
      <c r="CO83" s="6"/>
      <c r="CP83" s="6"/>
      <c r="CQ83" s="134"/>
      <c r="CR83" s="6"/>
      <c r="CS83" s="303"/>
      <c r="CT83" s="30"/>
      <c r="CV83" s="134"/>
    </row>
    <row r="84" spans="1:100" ht="20.25" customHeight="1" x14ac:dyDescent="0.3">
      <c r="BB84" s="6"/>
      <c r="BC84" s="303"/>
      <c r="BD84" s="174"/>
      <c r="BE84" s="175"/>
      <c r="BF84" s="6"/>
      <c r="BG84" s="303"/>
      <c r="BH84" s="30"/>
      <c r="BI84" s="176"/>
      <c r="BJ84" s="32"/>
      <c r="BK84" s="32"/>
      <c r="BL84" s="32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134"/>
      <c r="CI84" s="134"/>
      <c r="CJ84" s="134"/>
      <c r="CK84" s="134"/>
      <c r="CL84" s="134"/>
      <c r="CM84" s="134"/>
      <c r="CN84" s="134"/>
      <c r="CO84" s="6"/>
      <c r="CP84" s="6"/>
      <c r="CQ84" s="134"/>
      <c r="CR84" s="6"/>
      <c r="CS84" s="303"/>
      <c r="CT84" s="30"/>
      <c r="CV84" s="134"/>
    </row>
    <row r="85" spans="1:100" ht="20.25" customHeight="1" x14ac:dyDescent="0.3">
      <c r="BB85" s="6"/>
      <c r="BC85" s="303"/>
      <c r="BD85" s="174"/>
      <c r="BE85" s="175"/>
      <c r="BF85" s="6"/>
      <c r="BG85" s="303"/>
      <c r="BH85" s="30"/>
      <c r="BI85" s="176"/>
      <c r="BJ85" s="32"/>
      <c r="BK85" s="32"/>
      <c r="BL85" s="32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/>
      <c r="CH85" s="134"/>
      <c r="CI85" s="134"/>
      <c r="CJ85" s="134"/>
      <c r="CK85" s="134"/>
      <c r="CL85" s="134"/>
      <c r="CM85" s="134"/>
      <c r="CN85" s="134"/>
      <c r="CO85" s="6"/>
      <c r="CP85" s="6"/>
      <c r="CQ85" s="134"/>
      <c r="CR85" s="6"/>
      <c r="CS85" s="303"/>
      <c r="CT85" s="30"/>
      <c r="CV85" s="134"/>
    </row>
    <row r="86" spans="1:100" ht="20.25" customHeight="1" x14ac:dyDescent="0.3">
      <c r="BB86" s="6"/>
      <c r="BC86" s="303"/>
      <c r="BD86" s="174"/>
      <c r="BE86" s="175"/>
      <c r="BF86" s="6"/>
      <c r="BG86" s="303"/>
      <c r="BH86" s="30"/>
      <c r="BI86" s="176"/>
      <c r="BJ86" s="32"/>
      <c r="BK86" s="32"/>
      <c r="BL86" s="32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/>
      <c r="BX86" s="6"/>
      <c r="BY86" s="6"/>
      <c r="BZ86" s="6"/>
      <c r="CA86" s="6"/>
      <c r="CB86" s="6"/>
      <c r="CC86" s="6"/>
      <c r="CD86" s="6"/>
      <c r="CE86" s="6"/>
      <c r="CF86" s="6"/>
      <c r="CG86" s="6"/>
      <c r="CH86" s="134"/>
      <c r="CI86" s="134"/>
      <c r="CJ86" s="134"/>
      <c r="CK86" s="134"/>
      <c r="CL86" s="134"/>
      <c r="CM86" s="134"/>
      <c r="CN86" s="134"/>
      <c r="CO86" s="6"/>
      <c r="CP86" s="6"/>
      <c r="CQ86" s="134"/>
      <c r="CR86" s="6"/>
      <c r="CS86" s="303"/>
      <c r="CT86" s="30"/>
      <c r="CV86" s="134"/>
    </row>
    <row r="87" spans="1:100" ht="20.25" customHeight="1" x14ac:dyDescent="0.3">
      <c r="BB87" s="6"/>
      <c r="BC87" s="303"/>
      <c r="BD87" s="174"/>
      <c r="BE87" s="175"/>
      <c r="BF87" s="6"/>
      <c r="BG87" s="303"/>
      <c r="BH87" s="30"/>
      <c r="BI87" s="176"/>
      <c r="BJ87" s="32"/>
      <c r="BK87" s="32"/>
      <c r="BL87" s="32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134"/>
      <c r="CI87" s="134"/>
      <c r="CJ87" s="134"/>
      <c r="CK87" s="134"/>
      <c r="CL87" s="134"/>
      <c r="CM87" s="134"/>
      <c r="CN87" s="134"/>
      <c r="CO87" s="6"/>
      <c r="CP87" s="6"/>
      <c r="CQ87" s="134"/>
      <c r="CR87" s="6"/>
      <c r="CS87" s="303"/>
      <c r="CT87" s="30"/>
      <c r="CV87" s="134"/>
    </row>
    <row r="88" spans="1:100" ht="20.25" customHeight="1" x14ac:dyDescent="0.3">
      <c r="A88" s="177"/>
      <c r="B88" s="174"/>
      <c r="C88" s="178"/>
      <c r="D88" s="32"/>
      <c r="E88" s="30"/>
      <c r="F88" s="176"/>
      <c r="BB88" s="6"/>
      <c r="BC88" s="303"/>
      <c r="BD88" s="174"/>
      <c r="BE88" s="175"/>
      <c r="BF88" s="6"/>
      <c r="BG88" s="303"/>
      <c r="BH88" s="30"/>
      <c r="BI88" s="176"/>
      <c r="BJ88" s="32"/>
      <c r="BK88" s="32"/>
      <c r="BL88" s="32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134"/>
      <c r="CI88" s="134"/>
      <c r="CJ88" s="134"/>
      <c r="CK88" s="134"/>
      <c r="CL88" s="134"/>
      <c r="CM88" s="134"/>
      <c r="CN88" s="134"/>
      <c r="CO88" s="6"/>
      <c r="CP88" s="6"/>
      <c r="CQ88" s="134"/>
      <c r="CR88" s="6"/>
      <c r="CS88" s="303"/>
      <c r="CT88" s="30"/>
      <c r="CV88" s="134"/>
    </row>
    <row r="89" spans="1:100" ht="20.25" customHeight="1" x14ac:dyDescent="0.3">
      <c r="A89" s="177"/>
      <c r="B89" s="174"/>
      <c r="C89" s="178"/>
      <c r="D89" s="32"/>
      <c r="E89" s="30"/>
      <c r="F89" s="176"/>
      <c r="BB89" s="6"/>
      <c r="BC89" s="303"/>
      <c r="BD89" s="174"/>
      <c r="BE89" s="175"/>
      <c r="BF89" s="6"/>
      <c r="BG89" s="303"/>
      <c r="BH89" s="30"/>
      <c r="BI89" s="176"/>
      <c r="BJ89" s="32"/>
      <c r="BK89" s="32"/>
      <c r="BL89" s="32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/>
      <c r="CA89" s="6"/>
      <c r="CB89" s="6"/>
      <c r="CC89" s="6"/>
      <c r="CD89" s="6"/>
      <c r="CE89" s="6"/>
      <c r="CF89" s="6"/>
      <c r="CG89" s="6"/>
      <c r="CH89" s="134"/>
      <c r="CI89" s="134"/>
      <c r="CJ89" s="134"/>
      <c r="CK89" s="134"/>
      <c r="CL89" s="134"/>
      <c r="CM89" s="134"/>
      <c r="CN89" s="134"/>
      <c r="CO89" s="6"/>
      <c r="CP89" s="6"/>
      <c r="CQ89" s="134"/>
      <c r="CR89" s="6"/>
      <c r="CS89" s="303"/>
      <c r="CT89" s="30"/>
      <c r="CV89" s="134"/>
    </row>
    <row r="90" spans="1:100" ht="20.25" customHeight="1" x14ac:dyDescent="0.3">
      <c r="A90" s="177"/>
      <c r="B90" s="174"/>
      <c r="C90" s="178"/>
      <c r="D90" s="32"/>
      <c r="E90" s="30"/>
      <c r="F90" s="176"/>
      <c r="BB90" s="6"/>
      <c r="BC90" s="303"/>
      <c r="BD90" s="174"/>
      <c r="BE90" s="175"/>
      <c r="BF90" s="6"/>
      <c r="BG90" s="303"/>
      <c r="BH90" s="30"/>
      <c r="BI90" s="176"/>
      <c r="BJ90" s="32"/>
      <c r="BK90" s="32"/>
      <c r="BL90" s="32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134"/>
      <c r="CI90" s="134"/>
      <c r="CJ90" s="134"/>
      <c r="CK90" s="134"/>
      <c r="CL90" s="134"/>
      <c r="CM90" s="134"/>
      <c r="CN90" s="134"/>
      <c r="CO90" s="6"/>
      <c r="CP90" s="6"/>
      <c r="CQ90" s="134"/>
      <c r="CR90" s="6"/>
      <c r="CS90" s="303"/>
      <c r="CT90" s="30"/>
      <c r="CV90" s="134"/>
    </row>
    <row r="91" spans="1:100" ht="20.25" customHeight="1" x14ac:dyDescent="0.3">
      <c r="A91" s="177"/>
      <c r="B91" s="174"/>
      <c r="C91" s="178"/>
      <c r="D91" s="32"/>
      <c r="E91" s="30"/>
      <c r="F91" s="176"/>
      <c r="BB91" s="6"/>
      <c r="BC91" s="303"/>
      <c r="BD91" s="174"/>
      <c r="BE91" s="175"/>
      <c r="BF91" s="6"/>
      <c r="BG91" s="303"/>
      <c r="BH91" s="30"/>
      <c r="BI91" s="176"/>
      <c r="BJ91" s="32"/>
      <c r="BK91" s="32"/>
      <c r="BL91" s="32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/>
      <c r="CH91" s="134"/>
      <c r="CI91" s="134"/>
      <c r="CJ91" s="134"/>
      <c r="CK91" s="134"/>
      <c r="CL91" s="134"/>
      <c r="CM91" s="134"/>
      <c r="CN91" s="134"/>
      <c r="CO91" s="6"/>
      <c r="CP91" s="6"/>
      <c r="CQ91" s="134"/>
      <c r="CR91" s="6"/>
      <c r="CS91" s="303"/>
      <c r="CT91" s="30"/>
      <c r="CV91" s="134"/>
    </row>
    <row r="92" spans="1:100" ht="16.5" customHeight="1" x14ac:dyDescent="0.3">
      <c r="A92" s="177"/>
      <c r="B92" s="174"/>
      <c r="C92" s="178"/>
      <c r="D92" s="32"/>
      <c r="E92" s="30"/>
      <c r="F92" s="176"/>
      <c r="BB92" s="6"/>
      <c r="BC92" s="303"/>
      <c r="BD92" s="174"/>
      <c r="BE92" s="175"/>
      <c r="BF92" s="6"/>
      <c r="BG92" s="303"/>
      <c r="BH92" s="30"/>
      <c r="BI92" s="176"/>
      <c r="BJ92" s="32"/>
      <c r="BK92" s="32"/>
      <c r="BL92" s="32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134"/>
      <c r="CI92" s="134"/>
      <c r="CJ92" s="134"/>
      <c r="CK92" s="134"/>
      <c r="CL92" s="134"/>
      <c r="CM92" s="134"/>
      <c r="CN92" s="134"/>
      <c r="CO92" s="6"/>
      <c r="CP92" s="6"/>
      <c r="CQ92" s="134"/>
      <c r="CR92" s="6"/>
      <c r="CS92" s="303"/>
      <c r="CT92" s="30"/>
      <c r="CV92" s="134"/>
    </row>
    <row r="93" spans="1:100" ht="23.25" customHeight="1" x14ac:dyDescent="0.3">
      <c r="A93" s="177"/>
      <c r="B93" s="174"/>
      <c r="C93" s="178"/>
      <c r="D93" s="32"/>
      <c r="E93" s="30"/>
      <c r="F93" s="176"/>
      <c r="BB93" s="6"/>
      <c r="BC93" s="303"/>
      <c r="BD93" s="174"/>
      <c r="BE93" s="175"/>
      <c r="BF93" s="6"/>
      <c r="BG93" s="303"/>
      <c r="BH93" s="30"/>
      <c r="BI93" s="176"/>
      <c r="BJ93" s="32"/>
      <c r="BK93" s="32"/>
      <c r="BL93" s="32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134"/>
      <c r="CI93" s="134"/>
      <c r="CJ93" s="134"/>
      <c r="CK93" s="134"/>
      <c r="CL93" s="134"/>
      <c r="CM93" s="134"/>
      <c r="CN93" s="134"/>
      <c r="CO93" s="6"/>
      <c r="CP93" s="6"/>
      <c r="CQ93" s="134"/>
      <c r="CR93" s="6"/>
      <c r="CS93" s="303"/>
      <c r="CT93" s="30"/>
      <c r="CV93" s="134"/>
    </row>
    <row r="94" spans="1:100" ht="16.5" customHeight="1" x14ac:dyDescent="0.3">
      <c r="BB94" s="6"/>
      <c r="BC94" s="303"/>
      <c r="BD94" s="174"/>
      <c r="BE94" s="179"/>
      <c r="BF94" s="6"/>
      <c r="BG94" s="303"/>
      <c r="BH94" s="30"/>
      <c r="BI94" s="176"/>
      <c r="BJ94" s="32"/>
      <c r="BK94" s="32"/>
      <c r="BL94" s="32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6"/>
      <c r="CE94" s="6"/>
      <c r="CF94" s="6"/>
      <c r="CG94" s="6"/>
      <c r="CH94" s="134"/>
      <c r="CI94" s="134"/>
      <c r="CJ94" s="134"/>
      <c r="CK94" s="134"/>
      <c r="CL94" s="134"/>
      <c r="CM94" s="134"/>
      <c r="CN94" s="134"/>
      <c r="CO94" s="6"/>
      <c r="CP94" s="6"/>
      <c r="CQ94" s="134"/>
      <c r="CR94" s="6"/>
      <c r="CS94" s="303"/>
      <c r="CT94" s="30"/>
      <c r="CV94" s="134"/>
    </row>
    <row r="95" spans="1:100" ht="15.75" customHeight="1" x14ac:dyDescent="0.3">
      <c r="BB95" s="6"/>
      <c r="BC95" s="303"/>
      <c r="BD95" s="174"/>
      <c r="BE95" s="179"/>
      <c r="BF95" s="6"/>
      <c r="BG95" s="303"/>
      <c r="BH95" s="30"/>
      <c r="BI95" s="176"/>
      <c r="BJ95" s="32"/>
      <c r="BK95" s="32"/>
      <c r="BL95" s="32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/>
      <c r="CH95" s="134"/>
      <c r="CI95" s="134"/>
      <c r="CJ95" s="134"/>
      <c r="CK95" s="134"/>
      <c r="CL95" s="134"/>
      <c r="CM95" s="134"/>
      <c r="CN95" s="134"/>
      <c r="CO95" s="6"/>
      <c r="CP95" s="6"/>
      <c r="CQ95" s="134"/>
      <c r="CR95" s="6"/>
      <c r="CS95" s="303"/>
      <c r="CT95" s="30"/>
      <c r="CV95" s="134"/>
    </row>
    <row r="96" spans="1:100" ht="16.5" customHeight="1" x14ac:dyDescent="0.3">
      <c r="BB96" s="180"/>
      <c r="BC96" s="303"/>
      <c r="BD96" s="174"/>
      <c r="BE96" s="179"/>
      <c r="BF96" s="180"/>
      <c r="BG96" s="303"/>
      <c r="BH96" s="30"/>
      <c r="BI96" s="176"/>
      <c r="BJ96" s="32"/>
      <c r="BK96" s="32"/>
      <c r="BL96" s="32"/>
      <c r="BM96" s="180"/>
      <c r="BN96" s="180"/>
      <c r="BO96" s="180"/>
      <c r="BP96" s="180"/>
      <c r="BQ96" s="180"/>
      <c r="BR96" s="180"/>
      <c r="BS96" s="180"/>
      <c r="BT96" s="180"/>
      <c r="BU96" s="180"/>
      <c r="BV96" s="180"/>
      <c r="BW96" s="180"/>
      <c r="BX96" s="180"/>
      <c r="BY96" s="180"/>
      <c r="BZ96" s="180"/>
      <c r="CA96" s="180"/>
      <c r="CB96" s="180"/>
      <c r="CC96" s="180"/>
      <c r="CD96" s="180"/>
      <c r="CE96" s="180"/>
      <c r="CF96" s="180"/>
      <c r="CG96" s="180"/>
      <c r="CH96" s="134"/>
      <c r="CI96" s="134"/>
      <c r="CJ96" s="134"/>
      <c r="CK96" s="134"/>
      <c r="CL96" s="134"/>
      <c r="CM96" s="134"/>
      <c r="CN96" s="134"/>
      <c r="CO96" s="6"/>
      <c r="CP96" s="6"/>
      <c r="CQ96" s="134"/>
      <c r="CR96" s="6"/>
      <c r="CS96" s="303"/>
      <c r="CT96" s="30"/>
      <c r="CV96" s="134"/>
    </row>
    <row r="97" spans="54:100" ht="17.5" customHeight="1" x14ac:dyDescent="0.3">
      <c r="CR97" s="181"/>
    </row>
    <row r="98" spans="54:100" x14ac:dyDescent="0.3">
      <c r="BB98" s="6"/>
      <c r="BC98" s="132"/>
      <c r="BD98" s="132"/>
      <c r="BE98" s="133"/>
      <c r="BF98" s="6"/>
      <c r="BG98" s="134"/>
      <c r="BH98" s="179"/>
      <c r="BI98" s="179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134"/>
      <c r="CT98" s="179"/>
    </row>
    <row r="99" spans="54:100" x14ac:dyDescent="0.3">
      <c r="BB99" s="6"/>
      <c r="BC99" s="132"/>
      <c r="BD99" s="132"/>
      <c r="BE99" s="182"/>
      <c r="BF99" s="6"/>
      <c r="BG99" s="134"/>
      <c r="BH99" s="179"/>
      <c r="BI99" s="179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134"/>
      <c r="CT99" s="179"/>
    </row>
    <row r="100" spans="54:100" x14ac:dyDescent="0.3">
      <c r="BB100" s="183"/>
      <c r="BC100" s="6"/>
      <c r="BD100" s="184"/>
      <c r="BE100" s="185"/>
      <c r="BF100" s="183"/>
      <c r="BG100" s="6"/>
      <c r="BH100" s="184"/>
      <c r="BI100" s="184"/>
      <c r="BJ100" s="184"/>
      <c r="BK100" s="184"/>
      <c r="BL100" s="6"/>
      <c r="BM100" s="183"/>
      <c r="BN100" s="183"/>
      <c r="BO100" s="183"/>
      <c r="BP100" s="183"/>
      <c r="BQ100" s="183"/>
      <c r="BR100" s="183"/>
      <c r="BS100" s="183"/>
      <c r="BT100" s="183"/>
      <c r="BU100" s="183"/>
      <c r="BV100" s="183"/>
      <c r="BW100" s="183"/>
      <c r="BX100" s="183"/>
      <c r="BY100" s="183"/>
      <c r="BZ100" s="183"/>
      <c r="CA100" s="183"/>
      <c r="CB100" s="183"/>
      <c r="CC100" s="183"/>
      <c r="CD100" s="183"/>
      <c r="CE100" s="183"/>
      <c r="CF100" s="183"/>
      <c r="CG100" s="183"/>
      <c r="CH100" s="183"/>
      <c r="CI100" s="183"/>
      <c r="CJ100" s="183"/>
      <c r="CK100" s="183"/>
      <c r="CL100" s="183"/>
      <c r="CM100" s="183"/>
      <c r="CN100" s="183"/>
      <c r="CO100" s="183"/>
      <c r="CP100" s="183"/>
      <c r="CQ100" s="183"/>
      <c r="CR100" s="183"/>
      <c r="CS100" s="6"/>
      <c r="CT100" s="184"/>
      <c r="CV100" s="183"/>
    </row>
    <row r="101" spans="54:100" x14ac:dyDescent="0.3">
      <c r="BB101" s="186"/>
      <c r="BC101" s="6"/>
      <c r="BD101" s="184"/>
      <c r="BE101" s="185"/>
      <c r="BF101" s="186"/>
      <c r="BG101" s="6"/>
      <c r="BH101" s="184"/>
      <c r="BI101" s="184"/>
      <c r="BJ101" s="184"/>
      <c r="BK101" s="184"/>
      <c r="BL101" s="6"/>
      <c r="BM101" s="186"/>
      <c r="BN101" s="186"/>
      <c r="BO101" s="186"/>
      <c r="BP101" s="186"/>
      <c r="BQ101" s="186"/>
      <c r="BR101" s="186"/>
      <c r="BS101" s="186"/>
      <c r="BT101" s="186"/>
      <c r="BU101" s="186"/>
      <c r="BV101" s="186"/>
      <c r="BW101" s="186"/>
      <c r="BX101" s="186"/>
      <c r="BY101" s="186"/>
      <c r="BZ101" s="186"/>
      <c r="CA101" s="186"/>
      <c r="CB101" s="186"/>
      <c r="CC101" s="186"/>
      <c r="CD101" s="186"/>
      <c r="CE101" s="186"/>
      <c r="CF101" s="186"/>
      <c r="CG101" s="186"/>
      <c r="CH101" s="186"/>
      <c r="CI101" s="186"/>
      <c r="CJ101" s="186"/>
      <c r="CK101" s="186"/>
      <c r="CL101" s="186"/>
      <c r="CM101" s="186"/>
      <c r="CN101" s="186"/>
      <c r="CO101" s="186"/>
      <c r="CP101" s="186"/>
      <c r="CQ101" s="186"/>
      <c r="CR101" s="186"/>
      <c r="CS101" s="6"/>
      <c r="CT101" s="184"/>
      <c r="CV101" s="186"/>
    </row>
    <row r="102" spans="54:100" x14ac:dyDescent="0.3">
      <c r="BB102" s="186"/>
      <c r="BC102" s="6"/>
      <c r="BD102" s="184"/>
      <c r="BE102" s="185"/>
      <c r="BF102" s="186"/>
      <c r="BG102" s="6"/>
      <c r="BH102" s="184"/>
      <c r="BI102" s="184"/>
      <c r="BJ102" s="184"/>
      <c r="BK102" s="184"/>
      <c r="BL102" s="6"/>
      <c r="BM102" s="186"/>
      <c r="BN102" s="186"/>
      <c r="BO102" s="186"/>
      <c r="BP102" s="186"/>
      <c r="BQ102" s="186"/>
      <c r="BR102" s="186"/>
      <c r="BS102" s="186"/>
      <c r="BT102" s="186"/>
      <c r="BU102" s="186"/>
      <c r="BV102" s="186"/>
      <c r="BW102" s="186"/>
      <c r="BX102" s="186"/>
      <c r="BY102" s="186"/>
      <c r="BZ102" s="186"/>
      <c r="CA102" s="186"/>
      <c r="CB102" s="186"/>
      <c r="CC102" s="186"/>
      <c r="CD102" s="186"/>
      <c r="CE102" s="186"/>
      <c r="CF102" s="186"/>
      <c r="CG102" s="186"/>
      <c r="CH102" s="186"/>
      <c r="CI102" s="186"/>
      <c r="CJ102" s="186"/>
      <c r="CK102" s="186"/>
      <c r="CL102" s="186"/>
      <c r="CM102" s="186"/>
      <c r="CN102" s="186"/>
      <c r="CO102" s="186"/>
      <c r="CP102" s="186"/>
      <c r="CQ102" s="186"/>
      <c r="CR102" s="186"/>
      <c r="CS102" s="6"/>
      <c r="CT102" s="184"/>
      <c r="CV102" s="186"/>
    </row>
    <row r="103" spans="54:100" x14ac:dyDescent="0.3">
      <c r="BB103" s="187"/>
      <c r="BC103" s="6"/>
      <c r="BD103" s="184"/>
      <c r="BE103" s="185"/>
      <c r="BF103" s="187"/>
      <c r="BG103" s="6"/>
      <c r="BH103" s="184"/>
      <c r="BI103" s="184"/>
      <c r="BJ103" s="184"/>
      <c r="BK103" s="184"/>
      <c r="BL103" s="6"/>
      <c r="BM103" s="187"/>
      <c r="BN103" s="187"/>
      <c r="BO103" s="187"/>
      <c r="BP103" s="187"/>
      <c r="BQ103" s="187"/>
      <c r="BR103" s="187"/>
      <c r="BS103" s="187"/>
      <c r="BT103" s="187"/>
      <c r="BU103" s="187"/>
      <c r="BV103" s="187"/>
      <c r="BW103" s="187"/>
      <c r="BX103" s="187"/>
      <c r="BY103" s="187"/>
      <c r="BZ103" s="187"/>
      <c r="CA103" s="187"/>
      <c r="CB103" s="187"/>
      <c r="CC103" s="187"/>
      <c r="CD103" s="187"/>
      <c r="CE103" s="187"/>
      <c r="CF103" s="187"/>
      <c r="CG103" s="187"/>
      <c r="CH103" s="187"/>
      <c r="CI103" s="187"/>
      <c r="CJ103" s="187"/>
      <c r="CK103" s="187"/>
      <c r="CL103" s="187"/>
      <c r="CM103" s="187"/>
      <c r="CN103" s="187"/>
      <c r="CO103" s="187"/>
      <c r="CP103" s="187"/>
      <c r="CQ103" s="187"/>
      <c r="CR103" s="187"/>
      <c r="CS103" s="6"/>
      <c r="CT103" s="184"/>
      <c r="CV103" s="187"/>
    </row>
    <row r="104" spans="54:100" x14ac:dyDescent="0.3">
      <c r="BB104" s="187"/>
      <c r="BC104" s="6"/>
      <c r="BD104" s="184"/>
      <c r="BE104" s="185"/>
      <c r="BF104" s="187"/>
      <c r="BG104" s="6"/>
      <c r="BH104" s="184"/>
      <c r="BI104" s="184"/>
      <c r="BJ104" s="184"/>
      <c r="BK104" s="184"/>
      <c r="BL104" s="6"/>
      <c r="BM104" s="187"/>
      <c r="BN104" s="187"/>
      <c r="BO104" s="187"/>
      <c r="BP104" s="187"/>
      <c r="BQ104" s="187"/>
      <c r="BR104" s="187"/>
      <c r="BS104" s="187"/>
      <c r="BT104" s="187"/>
      <c r="BU104" s="187"/>
      <c r="BV104" s="187"/>
      <c r="BW104" s="187"/>
      <c r="BX104" s="187"/>
      <c r="BY104" s="187"/>
      <c r="BZ104" s="187"/>
      <c r="CA104" s="187"/>
      <c r="CB104" s="187"/>
      <c r="CC104" s="187"/>
      <c r="CD104" s="187"/>
      <c r="CE104" s="187"/>
      <c r="CF104" s="187"/>
      <c r="CG104" s="187"/>
      <c r="CH104" s="187"/>
      <c r="CI104" s="187"/>
      <c r="CJ104" s="187"/>
      <c r="CK104" s="187"/>
      <c r="CL104" s="187"/>
      <c r="CM104" s="187"/>
      <c r="CN104" s="187"/>
      <c r="CO104" s="187"/>
      <c r="CP104" s="187"/>
      <c r="CQ104" s="187"/>
      <c r="CR104" s="187"/>
      <c r="CS104" s="6"/>
      <c r="CT104" s="184"/>
      <c r="CV104" s="187"/>
    </row>
    <row r="105" spans="54:100" x14ac:dyDescent="0.3">
      <c r="BB105" s="6"/>
      <c r="BC105" s="6"/>
      <c r="BD105" s="6"/>
      <c r="BE105" s="6"/>
      <c r="BF105" s="6"/>
      <c r="BG105" s="6"/>
      <c r="BH105" s="6"/>
      <c r="BI105" s="10"/>
      <c r="BJ105" s="6"/>
      <c r="BK105" s="6"/>
      <c r="BL105" s="6"/>
      <c r="BM105" s="6"/>
      <c r="BN105" s="6"/>
      <c r="BO105" s="6"/>
      <c r="BP105" s="6"/>
      <c r="BQ105" s="6"/>
      <c r="BR105" s="6"/>
      <c r="BS105" s="6"/>
      <c r="BT105" s="6"/>
      <c r="BU105" s="6"/>
      <c r="BV105" s="6"/>
      <c r="BW105" s="6"/>
      <c r="BX105" s="6"/>
      <c r="BY105" s="6"/>
      <c r="BZ105" s="6"/>
      <c r="CA105" s="6"/>
      <c r="CB105" s="6"/>
      <c r="CC105" s="6"/>
      <c r="CD105" s="6"/>
      <c r="CE105" s="6"/>
      <c r="CF105" s="6"/>
      <c r="CG105" s="6"/>
      <c r="CH105" s="6"/>
      <c r="CI105" s="6"/>
      <c r="CJ105" s="6"/>
      <c r="CK105" s="6"/>
      <c r="CL105" s="6"/>
      <c r="CM105" s="6"/>
      <c r="CN105" s="6"/>
      <c r="CO105" s="6"/>
      <c r="CP105" s="6"/>
      <c r="CQ105" s="6"/>
      <c r="CR105" s="6"/>
      <c r="CS105" s="6"/>
      <c r="CT105" s="6"/>
      <c r="CV105" s="187"/>
    </row>
    <row r="106" spans="54:100" x14ac:dyDescent="0.3">
      <c r="BB106" s="6"/>
      <c r="BC106" s="6"/>
      <c r="BD106" s="6"/>
      <c r="BE106" s="6"/>
      <c r="BF106" s="6"/>
      <c r="BG106" s="6"/>
      <c r="BH106" s="6"/>
      <c r="BI106" s="10"/>
      <c r="BJ106" s="6"/>
      <c r="BK106" s="6"/>
      <c r="BL106" s="6"/>
      <c r="BM106" s="6"/>
      <c r="BN106" s="6"/>
      <c r="BO106" s="6"/>
      <c r="BP106" s="6"/>
      <c r="BQ106" s="6"/>
      <c r="BR106" s="6"/>
      <c r="BS106" s="6"/>
      <c r="BT106" s="6"/>
      <c r="BU106" s="6"/>
      <c r="BV106" s="6"/>
      <c r="BW106" s="6"/>
      <c r="BX106" s="6"/>
      <c r="BY106" s="6"/>
      <c r="BZ106" s="6"/>
      <c r="CA106" s="6"/>
      <c r="CB106" s="6"/>
      <c r="CC106" s="6"/>
      <c r="CD106" s="6"/>
      <c r="CE106" s="6"/>
      <c r="CF106" s="6"/>
      <c r="CG106" s="6"/>
      <c r="CH106" s="6"/>
      <c r="CI106" s="6"/>
      <c r="CJ106" s="6"/>
      <c r="CK106" s="6"/>
      <c r="CL106" s="6"/>
      <c r="CM106" s="6"/>
      <c r="CN106" s="6"/>
      <c r="CO106" s="6"/>
      <c r="CP106" s="6"/>
      <c r="CQ106" s="6"/>
      <c r="CR106" s="6"/>
      <c r="CS106" s="6"/>
      <c r="CT106" s="6"/>
    </row>
    <row r="107" spans="54:100" x14ac:dyDescent="0.3">
      <c r="BB107" s="6"/>
      <c r="BC107" s="6"/>
      <c r="BD107" s="6"/>
      <c r="BE107" s="6"/>
      <c r="BF107" s="6"/>
      <c r="BG107" s="6"/>
      <c r="BH107" s="6"/>
      <c r="BI107" s="10"/>
      <c r="BJ107" s="6"/>
      <c r="BK107" s="6"/>
      <c r="BL107" s="6"/>
      <c r="BM107" s="6"/>
      <c r="BN107" s="6"/>
      <c r="BO107" s="6"/>
      <c r="BP107" s="6"/>
      <c r="BQ107" s="6"/>
      <c r="BR107" s="6"/>
      <c r="BS107" s="6"/>
      <c r="BT107" s="6"/>
      <c r="BU107" s="6"/>
      <c r="BV107" s="6"/>
      <c r="BW107" s="6"/>
      <c r="BX107" s="6"/>
      <c r="BY107" s="6"/>
      <c r="BZ107" s="6"/>
      <c r="CA107" s="6"/>
      <c r="CB107" s="6"/>
      <c r="CC107" s="6"/>
      <c r="CD107" s="6"/>
      <c r="CE107" s="6"/>
      <c r="CF107" s="6"/>
      <c r="CG107" s="6"/>
      <c r="CH107" s="6"/>
      <c r="CI107" s="6"/>
      <c r="CJ107" s="6"/>
      <c r="CK107" s="6"/>
      <c r="CL107" s="6"/>
      <c r="CM107" s="6"/>
      <c r="CN107" s="6"/>
      <c r="CO107" s="6"/>
      <c r="CP107" s="6"/>
      <c r="CQ107" s="6"/>
      <c r="CR107" s="6"/>
      <c r="CS107" s="6"/>
      <c r="CT107" s="6"/>
    </row>
    <row r="108" spans="54:100" x14ac:dyDescent="0.3">
      <c r="BB108" s="6"/>
      <c r="BC108" s="6"/>
      <c r="BD108" s="6"/>
      <c r="BE108" s="6"/>
      <c r="BF108" s="6"/>
      <c r="BG108" s="6"/>
      <c r="BH108" s="6"/>
      <c r="BI108" s="10"/>
      <c r="BJ108" s="6"/>
      <c r="BK108" s="6"/>
      <c r="BL108" s="6"/>
      <c r="BM108" s="6"/>
      <c r="BN108" s="6"/>
      <c r="BO108" s="6"/>
      <c r="BP108" s="6"/>
      <c r="BQ108" s="6"/>
      <c r="BR108" s="6"/>
      <c r="BS108" s="6"/>
      <c r="BT108" s="6"/>
      <c r="BU108" s="6"/>
      <c r="BV108" s="6"/>
      <c r="BW108" s="6"/>
      <c r="BX108" s="6"/>
      <c r="BY108" s="6"/>
      <c r="BZ108" s="6"/>
      <c r="CA108" s="6"/>
      <c r="CB108" s="6"/>
      <c r="CC108" s="6"/>
      <c r="CD108" s="6"/>
      <c r="CE108" s="6"/>
      <c r="CF108" s="6"/>
      <c r="CG108" s="6"/>
      <c r="CH108" s="6"/>
      <c r="CI108" s="6"/>
      <c r="CJ108" s="6"/>
      <c r="CK108" s="6"/>
      <c r="CL108" s="6"/>
      <c r="CM108" s="6"/>
      <c r="CN108" s="6"/>
      <c r="CO108" s="6"/>
      <c r="CP108" s="6"/>
      <c r="CQ108" s="6"/>
      <c r="CR108" s="6"/>
      <c r="CS108" s="6"/>
      <c r="CT108" s="6"/>
    </row>
    <row r="109" spans="54:100" x14ac:dyDescent="0.3">
      <c r="BB109" s="6"/>
      <c r="BC109" s="6"/>
      <c r="BD109" s="6"/>
      <c r="BE109" s="6"/>
      <c r="BF109" s="6"/>
      <c r="BG109" s="6"/>
      <c r="BH109" s="6"/>
      <c r="BI109" s="10"/>
      <c r="BJ109" s="6"/>
      <c r="BK109" s="6"/>
      <c r="BL109" s="6"/>
      <c r="BM109" s="6"/>
      <c r="BN109" s="6"/>
      <c r="BO109" s="6"/>
      <c r="BP109" s="6"/>
      <c r="BQ109" s="6"/>
      <c r="BR109" s="6"/>
      <c r="BS109" s="6"/>
      <c r="BT109" s="6"/>
      <c r="BU109" s="6"/>
      <c r="BV109" s="6"/>
      <c r="BW109" s="6"/>
      <c r="BX109" s="6"/>
      <c r="BY109" s="6"/>
      <c r="BZ109" s="6"/>
      <c r="CA109" s="6"/>
      <c r="CB109" s="6"/>
      <c r="CC109" s="6"/>
      <c r="CD109" s="6"/>
      <c r="CE109" s="6"/>
      <c r="CF109" s="6"/>
      <c r="CG109" s="6"/>
      <c r="CH109" s="6"/>
      <c r="CI109" s="6"/>
      <c r="CJ109" s="6"/>
      <c r="CK109" s="6"/>
      <c r="CL109" s="6"/>
      <c r="CM109" s="6"/>
      <c r="CN109" s="6"/>
      <c r="CO109" s="6"/>
      <c r="CP109" s="6"/>
      <c r="CQ109" s="6"/>
      <c r="CR109" s="6"/>
      <c r="CS109" s="6"/>
      <c r="CT109" s="6"/>
    </row>
    <row r="110" spans="54:100" ht="15.75" customHeight="1" x14ac:dyDescent="0.3">
      <c r="BB110" s="6"/>
      <c r="BC110" s="6"/>
      <c r="BD110" s="6"/>
      <c r="BE110" s="6"/>
      <c r="BF110" s="6"/>
      <c r="BG110" s="6"/>
      <c r="BH110" s="6"/>
      <c r="BI110" s="10"/>
      <c r="BJ110" s="6"/>
      <c r="BK110" s="6"/>
      <c r="BL110" s="6"/>
      <c r="BM110" s="6"/>
      <c r="BN110" s="6"/>
      <c r="BO110" s="6"/>
      <c r="BP110" s="6"/>
      <c r="BQ110" s="6"/>
      <c r="BR110" s="6"/>
      <c r="BS110" s="6"/>
      <c r="BT110" s="6"/>
      <c r="BU110" s="6"/>
      <c r="BV110" s="6"/>
      <c r="BW110" s="6"/>
      <c r="BX110" s="6"/>
      <c r="BY110" s="6"/>
      <c r="BZ110" s="6"/>
      <c r="CA110" s="6"/>
      <c r="CB110" s="6"/>
      <c r="CC110" s="6"/>
      <c r="CD110" s="6"/>
      <c r="CE110" s="6"/>
      <c r="CF110" s="6"/>
      <c r="CG110" s="6"/>
      <c r="CH110" s="6"/>
      <c r="CI110" s="6"/>
      <c r="CJ110" s="6"/>
      <c r="CK110" s="6"/>
      <c r="CL110" s="6"/>
      <c r="CM110" s="6"/>
      <c r="CN110" s="6"/>
      <c r="CO110" s="6"/>
      <c r="CP110" s="6"/>
      <c r="CQ110" s="6"/>
      <c r="CR110" s="6"/>
      <c r="CS110" s="6"/>
      <c r="CT110" s="6"/>
    </row>
    <row r="111" spans="54:100" x14ac:dyDescent="0.3">
      <c r="BB111" s="6"/>
      <c r="BC111" s="6"/>
      <c r="BD111" s="6"/>
      <c r="BE111" s="6"/>
      <c r="BF111" s="6"/>
      <c r="BG111" s="6"/>
      <c r="BH111" s="6"/>
      <c r="BI111" s="10"/>
      <c r="BJ111" s="6"/>
      <c r="BK111" s="6"/>
      <c r="BL111" s="6"/>
      <c r="BM111" s="6"/>
      <c r="BN111" s="6"/>
      <c r="BO111" s="6"/>
      <c r="BP111" s="6"/>
      <c r="BQ111" s="6"/>
      <c r="BR111" s="6"/>
      <c r="BS111" s="6"/>
      <c r="BT111" s="6"/>
      <c r="BU111" s="6"/>
      <c r="BV111" s="6"/>
      <c r="BW111" s="6"/>
      <c r="BX111" s="6"/>
      <c r="BY111" s="6"/>
      <c r="BZ111" s="6"/>
      <c r="CA111" s="6"/>
      <c r="CB111" s="6"/>
      <c r="CC111" s="6"/>
      <c r="CD111" s="6"/>
      <c r="CE111" s="6"/>
      <c r="CF111" s="6"/>
      <c r="CG111" s="6"/>
      <c r="CH111" s="6"/>
      <c r="CI111" s="6"/>
      <c r="CJ111" s="6"/>
      <c r="CK111" s="6"/>
      <c r="CL111" s="6"/>
      <c r="CM111" s="6"/>
      <c r="CN111" s="6"/>
      <c r="CO111" s="6"/>
      <c r="CP111" s="6"/>
      <c r="CQ111" s="6"/>
      <c r="CR111" s="6"/>
      <c r="CS111" s="6"/>
      <c r="CT111" s="6"/>
    </row>
    <row r="112" spans="54:100" x14ac:dyDescent="0.3">
      <c r="BB112" s="6"/>
      <c r="BC112" s="6"/>
      <c r="BD112" s="6"/>
      <c r="BE112" s="6"/>
      <c r="BF112" s="6"/>
      <c r="BG112" s="6"/>
      <c r="BH112" s="6"/>
      <c r="BI112" s="10"/>
      <c r="BJ112" s="6"/>
      <c r="BK112" s="6"/>
      <c r="BL112" s="6"/>
      <c r="BM112" s="6"/>
      <c r="BN112" s="6"/>
      <c r="BO112" s="6"/>
      <c r="BP112" s="6"/>
      <c r="BQ112" s="6"/>
      <c r="BR112" s="6"/>
      <c r="BS112" s="6"/>
      <c r="BT112" s="6"/>
      <c r="BU112" s="6"/>
      <c r="BV112" s="6"/>
      <c r="BW112" s="6"/>
      <c r="BX112" s="6"/>
      <c r="BY112" s="6"/>
      <c r="BZ112" s="6"/>
      <c r="CA112" s="6"/>
      <c r="CB112" s="6"/>
      <c r="CC112" s="6"/>
      <c r="CD112" s="6"/>
      <c r="CE112" s="6"/>
      <c r="CF112" s="6"/>
      <c r="CG112" s="6"/>
      <c r="CH112" s="6"/>
      <c r="CI112" s="6"/>
      <c r="CJ112" s="6"/>
      <c r="CK112" s="6"/>
      <c r="CL112" s="6"/>
      <c r="CM112" s="6"/>
      <c r="CN112" s="6"/>
      <c r="CO112" s="6"/>
      <c r="CP112" s="6"/>
      <c r="CQ112" s="6"/>
      <c r="CR112" s="6"/>
      <c r="CS112" s="6"/>
      <c r="CT112" s="6"/>
    </row>
    <row r="113" spans="54:98" x14ac:dyDescent="0.3">
      <c r="BB113" s="6"/>
      <c r="BC113" s="6"/>
      <c r="BD113" s="6"/>
      <c r="BE113" s="6"/>
      <c r="BF113" s="6"/>
      <c r="BG113" s="6"/>
      <c r="BH113" s="6"/>
      <c r="BI113" s="10"/>
      <c r="BJ113" s="6"/>
      <c r="BK113" s="6"/>
      <c r="BL113" s="6"/>
      <c r="BM113" s="6"/>
      <c r="BN113" s="6"/>
      <c r="BO113" s="6"/>
      <c r="BP113" s="6"/>
      <c r="BQ113" s="6"/>
      <c r="BR113" s="6"/>
      <c r="BS113" s="6"/>
      <c r="BT113" s="6"/>
      <c r="BU113" s="6"/>
      <c r="BV113" s="6"/>
      <c r="BW113" s="6"/>
      <c r="BX113" s="6"/>
      <c r="BY113" s="6"/>
      <c r="BZ113" s="6"/>
      <c r="CA113" s="6"/>
      <c r="CB113" s="6"/>
      <c r="CC113" s="6"/>
      <c r="CD113" s="6"/>
      <c r="CE113" s="6"/>
      <c r="CF113" s="6"/>
      <c r="CG113" s="6"/>
      <c r="CH113" s="6"/>
      <c r="CI113" s="6"/>
      <c r="CJ113" s="6"/>
      <c r="CK113" s="6"/>
      <c r="CL113" s="6"/>
      <c r="CM113" s="6"/>
      <c r="CN113" s="6"/>
      <c r="CO113" s="6"/>
      <c r="CP113" s="6"/>
      <c r="CQ113" s="6"/>
      <c r="CR113" s="6"/>
      <c r="CS113" s="6"/>
      <c r="CT113" s="6"/>
    </row>
    <row r="114" spans="54:98" x14ac:dyDescent="0.3">
      <c r="BB114" s="6"/>
      <c r="BC114" s="6"/>
      <c r="BD114" s="6"/>
      <c r="BE114" s="6"/>
      <c r="BF114" s="6"/>
      <c r="BG114" s="6"/>
      <c r="BH114" s="6"/>
      <c r="BI114" s="10"/>
      <c r="BJ114" s="6"/>
      <c r="BK114" s="6"/>
      <c r="BL114" s="6"/>
      <c r="BM114" s="6"/>
      <c r="BN114" s="6"/>
      <c r="BO114" s="6"/>
      <c r="BP114" s="6"/>
      <c r="BQ114" s="6"/>
      <c r="BR114" s="6"/>
      <c r="BS114" s="6"/>
      <c r="BT114" s="6"/>
      <c r="BU114" s="6"/>
      <c r="BV114" s="6"/>
      <c r="BW114" s="6"/>
      <c r="BX114" s="6"/>
      <c r="BY114" s="6"/>
      <c r="BZ114" s="6"/>
      <c r="CA114" s="6"/>
      <c r="CB114" s="6"/>
      <c r="CC114" s="6"/>
      <c r="CD114" s="6"/>
      <c r="CE114" s="6"/>
      <c r="CF114" s="6"/>
      <c r="CG114" s="6"/>
      <c r="CH114" s="6"/>
      <c r="CI114" s="6"/>
      <c r="CJ114" s="6"/>
      <c r="CK114" s="6"/>
      <c r="CL114" s="6"/>
      <c r="CM114" s="6"/>
      <c r="CN114" s="6"/>
      <c r="CO114" s="6"/>
      <c r="CP114" s="6"/>
      <c r="CQ114" s="6"/>
      <c r="CR114" s="6"/>
      <c r="CS114" s="6"/>
      <c r="CT114" s="6"/>
    </row>
    <row r="115" spans="54:98" x14ac:dyDescent="0.3">
      <c r="BB115" s="6"/>
      <c r="BC115" s="6"/>
      <c r="BD115" s="6"/>
      <c r="BE115" s="6"/>
      <c r="BF115" s="188"/>
      <c r="BG115" s="188"/>
      <c r="BH115" s="188"/>
      <c r="BI115" s="188"/>
      <c r="BJ115" s="188"/>
      <c r="BK115" s="188"/>
      <c r="BL115" s="188"/>
      <c r="BM115" s="188"/>
      <c r="BN115" s="188"/>
      <c r="BO115" s="188"/>
      <c r="BP115" s="188"/>
      <c r="BQ115" s="188"/>
      <c r="BR115" s="188"/>
      <c r="BS115" s="188"/>
      <c r="BT115" s="188"/>
      <c r="BU115" s="188"/>
      <c r="BV115" s="188"/>
      <c r="BW115" s="188"/>
      <c r="BX115" s="188"/>
      <c r="BY115" s="188"/>
      <c r="BZ115" s="188"/>
      <c r="CA115" s="188"/>
      <c r="CB115" s="188"/>
      <c r="CC115" s="188"/>
      <c r="CD115" s="188"/>
      <c r="CE115" s="188"/>
      <c r="CF115" s="188"/>
      <c r="CG115" s="188"/>
      <c r="CH115" s="188"/>
      <c r="CI115" s="188"/>
      <c r="CJ115" s="189"/>
      <c r="CK115" s="189"/>
      <c r="CL115" s="189"/>
      <c r="CM115" s="189"/>
      <c r="CN115" s="189"/>
      <c r="CO115" s="189"/>
      <c r="CP115" s="189"/>
      <c r="CQ115" s="189"/>
      <c r="CR115" s="189"/>
      <c r="CS115" s="6"/>
      <c r="CT115" s="6"/>
    </row>
    <row r="116" spans="54:98" x14ac:dyDescent="0.3">
      <c r="BB116" s="6"/>
      <c r="BC116" s="6"/>
      <c r="BD116" s="6"/>
      <c r="BE116" s="6"/>
      <c r="BF116" s="188"/>
      <c r="BG116" s="188"/>
      <c r="BH116" s="188"/>
      <c r="BI116" s="188"/>
      <c r="BJ116" s="188"/>
      <c r="BK116" s="188"/>
      <c r="BL116" s="188"/>
      <c r="BM116" s="188"/>
      <c r="BN116" s="188"/>
      <c r="BO116" s="188"/>
      <c r="BP116" s="188"/>
      <c r="BQ116" s="188"/>
      <c r="BR116" s="188"/>
      <c r="BS116" s="188"/>
      <c r="BT116" s="188"/>
      <c r="BU116" s="188"/>
      <c r="BV116" s="188"/>
      <c r="BW116" s="188"/>
      <c r="BX116" s="188"/>
      <c r="BY116" s="188"/>
      <c r="BZ116" s="188"/>
      <c r="CA116" s="188"/>
      <c r="CB116" s="188"/>
      <c r="CC116" s="188"/>
      <c r="CD116" s="188"/>
      <c r="CE116" s="188"/>
      <c r="CF116" s="188"/>
      <c r="CG116" s="188"/>
      <c r="CH116" s="188"/>
      <c r="CI116" s="188"/>
      <c r="CJ116" s="189"/>
      <c r="CK116" s="189"/>
      <c r="CL116" s="189"/>
      <c r="CM116" s="189"/>
      <c r="CN116" s="189"/>
      <c r="CO116" s="189"/>
      <c r="CP116" s="189"/>
      <c r="CQ116" s="189"/>
      <c r="CR116" s="189"/>
      <c r="CS116" s="6"/>
      <c r="CT116" s="6"/>
    </row>
    <row r="117" spans="54:98" ht="17" x14ac:dyDescent="0.3">
      <c r="BB117" s="6"/>
      <c r="BC117" s="6"/>
      <c r="BD117" s="6"/>
      <c r="BE117" s="6"/>
      <c r="BF117" s="190"/>
      <c r="BG117" s="6"/>
      <c r="BH117" s="6"/>
      <c r="BI117" s="10"/>
      <c r="BJ117" s="6"/>
      <c r="BK117" s="6"/>
      <c r="BL117" s="6"/>
      <c r="BM117" s="190"/>
      <c r="BN117" s="190"/>
      <c r="BO117" s="190"/>
      <c r="BP117" s="190"/>
      <c r="BQ117" s="190"/>
      <c r="BR117" s="190"/>
      <c r="BS117" s="190"/>
      <c r="BT117" s="190"/>
      <c r="BU117" s="190"/>
      <c r="BV117" s="190"/>
      <c r="BW117" s="190"/>
      <c r="BX117" s="190"/>
      <c r="BY117" s="190"/>
      <c r="BZ117" s="190"/>
      <c r="CA117" s="190"/>
      <c r="CB117" s="190"/>
      <c r="CC117" s="190"/>
      <c r="CD117" s="190"/>
      <c r="CE117" s="190"/>
      <c r="CF117" s="190"/>
      <c r="CG117" s="190"/>
      <c r="CH117" s="190"/>
      <c r="CI117" s="190"/>
      <c r="CJ117" s="191"/>
      <c r="CK117" s="191"/>
      <c r="CL117" s="191"/>
      <c r="CM117" s="191"/>
      <c r="CN117" s="191"/>
      <c r="CO117" s="191"/>
      <c r="CP117" s="191"/>
      <c r="CQ117" s="191"/>
      <c r="CR117" s="189"/>
      <c r="CS117" s="6"/>
      <c r="CT117" s="6"/>
    </row>
    <row r="118" spans="54:98" ht="15.75" customHeight="1" x14ac:dyDescent="0.3">
      <c r="BB118" s="6"/>
      <c r="BC118" s="6"/>
      <c r="BD118" s="6"/>
      <c r="BE118" s="6"/>
      <c r="BF118" s="190"/>
      <c r="BG118" s="6"/>
      <c r="BH118" s="6"/>
      <c r="BI118" s="10"/>
      <c r="BJ118" s="6"/>
      <c r="BK118" s="6"/>
      <c r="BL118" s="6"/>
      <c r="BM118" s="190"/>
      <c r="BN118" s="190"/>
      <c r="BO118" s="190"/>
      <c r="BP118" s="190"/>
      <c r="BQ118" s="190"/>
      <c r="BR118" s="190"/>
      <c r="BS118" s="190"/>
      <c r="BT118" s="190"/>
      <c r="BU118" s="190"/>
      <c r="BV118" s="190"/>
      <c r="BW118" s="190"/>
      <c r="BX118" s="190"/>
      <c r="BY118" s="190"/>
      <c r="BZ118" s="190"/>
      <c r="CA118" s="190"/>
      <c r="CB118" s="190"/>
      <c r="CC118" s="190"/>
      <c r="CD118" s="190"/>
      <c r="CE118" s="190"/>
      <c r="CF118" s="190"/>
      <c r="CG118" s="190"/>
      <c r="CH118" s="190"/>
      <c r="CI118" s="190"/>
      <c r="CJ118" s="191"/>
      <c r="CK118" s="191"/>
      <c r="CL118" s="191"/>
      <c r="CM118" s="191"/>
      <c r="CN118" s="191"/>
      <c r="CO118" s="191"/>
      <c r="CP118" s="191"/>
      <c r="CQ118" s="191"/>
      <c r="CR118" s="189"/>
      <c r="CS118" s="6"/>
      <c r="CT118" s="6"/>
    </row>
    <row r="119" spans="54:98" ht="17" x14ac:dyDescent="0.3">
      <c r="BB119" s="6"/>
      <c r="BC119" s="6"/>
      <c r="BD119" s="6"/>
      <c r="BE119" s="6"/>
      <c r="BF119" s="188"/>
      <c r="BG119" s="188"/>
      <c r="BH119" s="188"/>
      <c r="BI119" s="188"/>
      <c r="BJ119" s="188"/>
      <c r="BK119" s="188"/>
      <c r="BL119" s="188"/>
      <c r="BM119" s="188"/>
      <c r="BN119" s="188"/>
      <c r="BO119" s="188"/>
      <c r="BP119" s="188"/>
      <c r="BQ119" s="188"/>
      <c r="BR119" s="188"/>
      <c r="BS119" s="188"/>
      <c r="BT119" s="188"/>
      <c r="BU119" s="188"/>
      <c r="BV119" s="188"/>
      <c r="BW119" s="188"/>
      <c r="BX119" s="188"/>
      <c r="BY119" s="188"/>
      <c r="BZ119" s="188"/>
      <c r="CA119" s="188"/>
      <c r="CB119" s="188"/>
      <c r="CC119" s="188"/>
      <c r="CD119" s="188"/>
      <c r="CE119" s="188"/>
      <c r="CF119" s="188"/>
      <c r="CG119" s="188"/>
      <c r="CH119" s="188"/>
      <c r="CI119" s="188"/>
      <c r="CJ119" s="49"/>
      <c r="CK119" s="49"/>
      <c r="CL119" s="189"/>
      <c r="CM119" s="189"/>
      <c r="CN119" s="189"/>
      <c r="CO119" s="189"/>
      <c r="CP119" s="189"/>
      <c r="CQ119" s="189"/>
      <c r="CR119" s="189"/>
      <c r="CS119" s="6"/>
      <c r="CT119" s="6"/>
    </row>
    <row r="120" spans="54:98" ht="17" x14ac:dyDescent="0.3">
      <c r="BB120" s="6"/>
      <c r="BC120" s="6"/>
      <c r="BD120" s="6"/>
      <c r="BE120" s="6"/>
      <c r="BF120" s="188"/>
      <c r="BG120" s="188"/>
      <c r="BH120" s="188"/>
      <c r="BI120" s="188"/>
      <c r="BJ120" s="188"/>
      <c r="BK120" s="188"/>
      <c r="BL120" s="188"/>
      <c r="BM120" s="188"/>
      <c r="BN120" s="188"/>
      <c r="BO120" s="188"/>
      <c r="BP120" s="188"/>
      <c r="BQ120" s="188"/>
      <c r="BR120" s="188"/>
      <c r="BS120" s="188"/>
      <c r="BT120" s="188"/>
      <c r="BU120" s="188"/>
      <c r="BV120" s="188"/>
      <c r="BW120" s="188"/>
      <c r="BX120" s="188"/>
      <c r="BY120" s="188"/>
      <c r="BZ120" s="188"/>
      <c r="CA120" s="188"/>
      <c r="CB120" s="188"/>
      <c r="CC120" s="188"/>
      <c r="CD120" s="188"/>
      <c r="CE120" s="188"/>
      <c r="CF120" s="188"/>
      <c r="CG120" s="188"/>
      <c r="CH120" s="188"/>
      <c r="CI120" s="188"/>
      <c r="CJ120" s="49"/>
      <c r="CK120" s="49"/>
      <c r="CL120" s="189"/>
      <c r="CM120" s="189"/>
      <c r="CN120" s="189"/>
      <c r="CO120" s="189"/>
      <c r="CP120" s="189"/>
      <c r="CQ120" s="189"/>
      <c r="CR120" s="189"/>
      <c r="CS120" s="6"/>
      <c r="CT120" s="6"/>
    </row>
    <row r="121" spans="54:98" ht="15.75" customHeight="1" x14ac:dyDescent="0.3">
      <c r="BB121" s="6"/>
      <c r="BC121" s="6"/>
      <c r="BD121" s="6"/>
      <c r="BE121" s="6"/>
      <c r="BF121" s="188"/>
      <c r="BG121" s="188"/>
      <c r="BH121" s="188"/>
      <c r="BI121" s="188"/>
      <c r="BJ121" s="188"/>
      <c r="BK121" s="188"/>
      <c r="BL121" s="188"/>
      <c r="BM121" s="188"/>
      <c r="BN121" s="188"/>
      <c r="BO121" s="188"/>
      <c r="BP121" s="188"/>
      <c r="BQ121" s="188"/>
      <c r="BR121" s="188"/>
      <c r="BS121" s="188"/>
      <c r="BT121" s="188"/>
      <c r="BU121" s="188"/>
      <c r="BV121" s="188"/>
      <c r="BW121" s="188"/>
      <c r="BX121" s="188"/>
      <c r="BY121" s="188"/>
      <c r="BZ121" s="188"/>
      <c r="CA121" s="188"/>
      <c r="CB121" s="188"/>
      <c r="CC121" s="188"/>
      <c r="CD121" s="188"/>
      <c r="CE121" s="188"/>
      <c r="CF121" s="188"/>
      <c r="CG121" s="188"/>
      <c r="CH121" s="188"/>
      <c r="CI121" s="188"/>
      <c r="CJ121" s="49"/>
      <c r="CK121" s="49"/>
      <c r="CL121" s="189"/>
      <c r="CM121" s="189"/>
      <c r="CN121" s="189"/>
      <c r="CO121" s="189"/>
      <c r="CP121" s="189"/>
      <c r="CQ121" s="189"/>
      <c r="CR121" s="189"/>
      <c r="CS121" s="6"/>
      <c r="CT121" s="6"/>
    </row>
    <row r="122" spans="54:98" x14ac:dyDescent="0.3"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  <c r="BP122" s="6"/>
      <c r="BQ122" s="6"/>
      <c r="BR122" s="6"/>
      <c r="BS122" s="6"/>
      <c r="BT122" s="6"/>
      <c r="BU122" s="6"/>
      <c r="BV122" s="6"/>
      <c r="BW122" s="6"/>
      <c r="BX122" s="6"/>
      <c r="BY122" s="6"/>
      <c r="BZ122" s="6"/>
      <c r="CA122" s="6"/>
      <c r="CB122" s="6"/>
      <c r="CC122" s="6"/>
      <c r="CD122" s="6"/>
      <c r="CE122" s="6"/>
      <c r="CF122" s="6"/>
      <c r="CG122" s="6"/>
      <c r="CH122" s="6"/>
      <c r="CI122" s="6"/>
      <c r="CJ122" s="6"/>
      <c r="CK122" s="6"/>
      <c r="CL122" s="189"/>
      <c r="CM122" s="189"/>
      <c r="CN122" s="189"/>
      <c r="CO122" s="189"/>
      <c r="CP122" s="189"/>
      <c r="CQ122" s="189"/>
      <c r="CR122" s="189"/>
      <c r="CS122" s="6"/>
      <c r="CT122" s="6"/>
    </row>
    <row r="123" spans="54:98" x14ac:dyDescent="0.3">
      <c r="BB123" s="6"/>
      <c r="BC123" s="6"/>
      <c r="BD123" s="6"/>
      <c r="BE123" s="6"/>
      <c r="BF123" s="189"/>
      <c r="BG123" s="6"/>
      <c r="BH123" s="6"/>
      <c r="BI123" s="10"/>
      <c r="BJ123" s="6"/>
      <c r="BK123" s="6"/>
      <c r="BL123" s="6"/>
      <c r="BM123" s="189"/>
      <c r="BN123" s="189"/>
      <c r="BO123" s="189"/>
      <c r="BP123" s="189"/>
      <c r="BQ123" s="189"/>
      <c r="BR123" s="189"/>
      <c r="BS123" s="189"/>
      <c r="BT123" s="189"/>
      <c r="BU123" s="189"/>
      <c r="BV123" s="189"/>
      <c r="BW123" s="189"/>
      <c r="BX123" s="189"/>
      <c r="BY123" s="189"/>
      <c r="BZ123" s="189"/>
      <c r="CA123" s="189"/>
      <c r="CB123" s="189"/>
      <c r="CC123" s="189"/>
      <c r="CD123" s="189"/>
      <c r="CE123" s="189"/>
      <c r="CF123" s="189"/>
      <c r="CG123" s="189"/>
      <c r="CH123" s="189"/>
      <c r="CI123" s="189"/>
      <c r="CJ123" s="189"/>
      <c r="CK123" s="189"/>
      <c r="CL123" s="189"/>
      <c r="CM123" s="189"/>
      <c r="CN123" s="189"/>
      <c r="CO123" s="189"/>
      <c r="CP123" s="189"/>
      <c r="CQ123" s="189"/>
      <c r="CR123" s="189"/>
      <c r="CS123" s="6"/>
      <c r="CT123" s="6"/>
    </row>
    <row r="124" spans="54:98" ht="17" x14ac:dyDescent="0.3">
      <c r="BB124" s="6"/>
      <c r="BC124" s="6"/>
      <c r="BD124" s="6"/>
      <c r="BE124" s="6"/>
      <c r="BF124" s="49"/>
      <c r="BG124" s="49"/>
      <c r="BH124" s="49"/>
      <c r="BI124" s="49"/>
      <c r="BJ124" s="49"/>
      <c r="BK124" s="49"/>
      <c r="BL124" s="49"/>
      <c r="BM124" s="49"/>
      <c r="BN124" s="49"/>
      <c r="BO124" s="49"/>
      <c r="BP124" s="49"/>
      <c r="BQ124" s="49"/>
      <c r="BR124" s="49"/>
      <c r="BS124" s="49"/>
      <c r="BT124" s="49"/>
      <c r="BU124" s="49"/>
      <c r="BV124" s="49"/>
      <c r="BW124" s="49"/>
      <c r="BX124" s="49"/>
      <c r="BY124" s="49"/>
      <c r="BZ124" s="49"/>
      <c r="CA124" s="49"/>
      <c r="CB124" s="49"/>
      <c r="CC124" s="49"/>
      <c r="CD124" s="49"/>
      <c r="CE124" s="49"/>
      <c r="CF124" s="49"/>
      <c r="CG124" s="49"/>
      <c r="CH124" s="49"/>
      <c r="CI124" s="49"/>
      <c r="CJ124" s="49"/>
      <c r="CK124" s="49"/>
      <c r="CL124" s="189"/>
      <c r="CM124" s="189"/>
      <c r="CN124" s="189"/>
      <c r="CO124" s="189"/>
      <c r="CP124" s="189"/>
      <c r="CQ124" s="189"/>
      <c r="CR124" s="189"/>
      <c r="CS124" s="6"/>
      <c r="CT124" s="6"/>
    </row>
    <row r="125" spans="54:98" ht="17" x14ac:dyDescent="0.3">
      <c r="BB125" s="6"/>
      <c r="BC125" s="6"/>
      <c r="BD125" s="6"/>
      <c r="BE125" s="6"/>
      <c r="BF125" s="49"/>
      <c r="BG125" s="6"/>
      <c r="BH125" s="6"/>
      <c r="BI125" s="10"/>
      <c r="BJ125" s="6"/>
      <c r="BK125" s="6"/>
      <c r="BL125" s="6"/>
      <c r="BM125" s="49"/>
      <c r="BN125" s="49"/>
      <c r="BO125" s="49"/>
      <c r="BP125" s="49"/>
      <c r="BQ125" s="49"/>
      <c r="BR125" s="49"/>
      <c r="BS125" s="49"/>
      <c r="BT125" s="49"/>
      <c r="BU125" s="49"/>
      <c r="BV125" s="49"/>
      <c r="BW125" s="49"/>
      <c r="BX125" s="49"/>
      <c r="BY125" s="49"/>
      <c r="BZ125" s="49"/>
      <c r="CA125" s="49"/>
      <c r="CB125" s="49"/>
      <c r="CC125" s="49"/>
      <c r="CD125" s="49"/>
      <c r="CE125" s="49"/>
      <c r="CF125" s="49"/>
      <c r="CG125" s="49"/>
      <c r="CH125" s="49"/>
      <c r="CI125" s="49"/>
      <c r="CJ125" s="49"/>
      <c r="CK125" s="49"/>
      <c r="CL125" s="49"/>
      <c r="CM125" s="49"/>
      <c r="CN125" s="49"/>
      <c r="CO125" s="49"/>
      <c r="CP125" s="49"/>
      <c r="CQ125" s="49"/>
      <c r="CR125" s="189"/>
      <c r="CS125" s="6"/>
      <c r="CT125" s="6"/>
    </row>
    <row r="126" spans="54:98" ht="17" x14ac:dyDescent="0.3">
      <c r="BB126" s="6"/>
      <c r="BC126" s="6"/>
      <c r="BD126" s="6"/>
      <c r="BE126" s="6"/>
      <c r="BF126" s="49"/>
      <c r="BG126" s="6"/>
      <c r="BH126" s="6"/>
      <c r="BI126" s="10"/>
      <c r="BJ126" s="6"/>
      <c r="BK126" s="6"/>
      <c r="BL126" s="6"/>
      <c r="BM126" s="49"/>
      <c r="BN126" s="49"/>
      <c r="BO126" s="49"/>
      <c r="BP126" s="49"/>
      <c r="BQ126" s="49"/>
      <c r="BR126" s="49"/>
      <c r="BS126" s="49"/>
      <c r="BT126" s="49"/>
      <c r="BU126" s="49"/>
      <c r="BV126" s="49"/>
      <c r="BW126" s="49"/>
      <c r="BX126" s="49"/>
      <c r="BY126" s="49"/>
      <c r="BZ126" s="49"/>
      <c r="CA126" s="49"/>
      <c r="CB126" s="49"/>
      <c r="CC126" s="49"/>
      <c r="CD126" s="49"/>
      <c r="CE126" s="49"/>
      <c r="CF126" s="49"/>
      <c r="CG126" s="49"/>
      <c r="CH126" s="49"/>
      <c r="CI126" s="49"/>
      <c r="CJ126" s="49"/>
      <c r="CK126" s="49"/>
      <c r="CL126" s="49"/>
      <c r="CM126" s="49"/>
      <c r="CN126" s="49"/>
      <c r="CO126" s="49"/>
      <c r="CP126" s="49"/>
      <c r="CQ126" s="49"/>
      <c r="CR126" s="189"/>
      <c r="CS126" s="6"/>
      <c r="CT126" s="6"/>
    </row>
    <row r="127" spans="54:98" ht="17" x14ac:dyDescent="0.3">
      <c r="BB127" s="6"/>
      <c r="BC127" s="6"/>
      <c r="BD127" s="6"/>
      <c r="BE127" s="6"/>
      <c r="BF127" s="49"/>
      <c r="BG127" s="6"/>
      <c r="BH127" s="6"/>
      <c r="BI127" s="10"/>
      <c r="BJ127" s="6"/>
      <c r="BK127" s="6"/>
      <c r="BL127" s="6"/>
      <c r="BM127" s="49"/>
      <c r="BN127" s="49"/>
      <c r="BO127" s="49"/>
      <c r="BP127" s="49"/>
      <c r="BQ127" s="49"/>
      <c r="BR127" s="49"/>
      <c r="BS127" s="49"/>
      <c r="BT127" s="49"/>
      <c r="BU127" s="49"/>
      <c r="BV127" s="49"/>
      <c r="BW127" s="49"/>
      <c r="BX127" s="49"/>
      <c r="BY127" s="49"/>
      <c r="BZ127" s="49"/>
      <c r="CA127" s="49"/>
      <c r="CB127" s="49"/>
      <c r="CC127" s="49"/>
      <c r="CD127" s="49"/>
      <c r="CE127" s="49"/>
      <c r="CF127" s="49"/>
      <c r="CG127" s="49"/>
      <c r="CH127" s="49"/>
      <c r="CI127" s="49"/>
      <c r="CJ127" s="49"/>
      <c r="CK127" s="49"/>
      <c r="CL127" s="49"/>
      <c r="CM127" s="49"/>
      <c r="CN127" s="49"/>
      <c r="CO127" s="49"/>
      <c r="CP127" s="49"/>
      <c r="CQ127" s="49"/>
      <c r="CR127" s="189"/>
      <c r="CS127" s="6"/>
      <c r="CT127" s="6"/>
    </row>
    <row r="128" spans="54:98" ht="17" x14ac:dyDescent="0.3">
      <c r="BB128" s="6"/>
      <c r="BC128" s="6"/>
      <c r="BD128" s="6"/>
      <c r="BE128" s="175"/>
      <c r="BF128" s="192"/>
      <c r="BG128" s="192"/>
      <c r="BH128" s="192"/>
      <c r="BI128" s="192"/>
      <c r="BJ128" s="192"/>
      <c r="BK128" s="192"/>
      <c r="BL128" s="192"/>
      <c r="BM128" s="192"/>
      <c r="BN128" s="192"/>
      <c r="BO128" s="192"/>
      <c r="BP128" s="192"/>
      <c r="BQ128" s="192"/>
      <c r="BR128" s="192"/>
      <c r="BS128" s="192"/>
      <c r="BT128" s="192"/>
      <c r="BU128" s="192"/>
      <c r="BV128" s="192"/>
      <c r="BW128" s="192"/>
      <c r="BX128" s="192"/>
      <c r="BY128" s="192"/>
      <c r="BZ128" s="192"/>
      <c r="CA128" s="192"/>
      <c r="CB128" s="192"/>
      <c r="CC128" s="192"/>
      <c r="CD128" s="192"/>
      <c r="CE128" s="192"/>
      <c r="CF128" s="192"/>
      <c r="CG128" s="192"/>
      <c r="CH128" s="192"/>
      <c r="CI128" s="192"/>
      <c r="CJ128" s="49"/>
      <c r="CK128" s="49"/>
      <c r="CL128" s="49"/>
      <c r="CM128" s="49"/>
      <c r="CN128" s="49"/>
      <c r="CO128" s="49"/>
      <c r="CP128" s="49"/>
      <c r="CQ128" s="49"/>
      <c r="CR128" s="6"/>
      <c r="CS128" s="6"/>
      <c r="CT128" s="6"/>
    </row>
    <row r="129" spans="54:98" ht="17" x14ac:dyDescent="0.3">
      <c r="BB129" s="6"/>
      <c r="BC129" s="6"/>
      <c r="BD129" s="6"/>
      <c r="BE129" s="175"/>
      <c r="BF129" s="49"/>
      <c r="BG129" s="6"/>
      <c r="BH129" s="6"/>
      <c r="BI129" s="10"/>
      <c r="BJ129" s="6"/>
      <c r="BK129" s="6"/>
      <c r="BL129" s="6"/>
      <c r="BM129" s="49"/>
      <c r="BN129" s="49"/>
      <c r="BO129" s="49"/>
      <c r="BP129" s="49"/>
      <c r="BQ129" s="49"/>
      <c r="BR129" s="49"/>
      <c r="BS129" s="49"/>
      <c r="BT129" s="49"/>
      <c r="BU129" s="49"/>
      <c r="BV129" s="49"/>
      <c r="BW129" s="49"/>
      <c r="BX129" s="49"/>
      <c r="BY129" s="49"/>
      <c r="BZ129" s="49"/>
      <c r="CA129" s="49"/>
      <c r="CB129" s="49"/>
      <c r="CC129" s="49"/>
      <c r="CD129" s="49"/>
      <c r="CE129" s="49"/>
      <c r="CF129" s="49"/>
      <c r="CG129" s="49"/>
      <c r="CH129" s="49"/>
      <c r="CI129" s="49"/>
      <c r="CJ129" s="49"/>
      <c r="CK129" s="49"/>
      <c r="CL129" s="49"/>
      <c r="CM129" s="49"/>
      <c r="CN129" s="49"/>
      <c r="CO129" s="49"/>
      <c r="CP129" s="49"/>
      <c r="CQ129" s="49"/>
      <c r="CR129" s="6"/>
      <c r="CS129" s="6"/>
      <c r="CT129" s="6"/>
    </row>
    <row r="130" spans="54:98" x14ac:dyDescent="0.3">
      <c r="BB130" s="6"/>
      <c r="BC130" s="6"/>
      <c r="BD130" s="6"/>
      <c r="BE130" s="175"/>
      <c r="BF130" s="6"/>
      <c r="BG130" s="6"/>
      <c r="BH130" s="6"/>
      <c r="BI130" s="10"/>
      <c r="BJ130" s="6"/>
      <c r="BK130" s="6"/>
      <c r="BL130" s="6"/>
      <c r="BM130" s="6"/>
      <c r="BN130" s="6"/>
      <c r="BO130" s="6"/>
      <c r="BP130" s="6"/>
      <c r="BQ130" s="6"/>
      <c r="BR130" s="6"/>
      <c r="BS130" s="6"/>
      <c r="BT130" s="6"/>
      <c r="BU130" s="6"/>
      <c r="BV130" s="6"/>
      <c r="BW130" s="6"/>
      <c r="BX130" s="6"/>
      <c r="BY130" s="6"/>
      <c r="BZ130" s="6"/>
      <c r="CA130" s="6"/>
      <c r="CB130" s="6"/>
      <c r="CC130" s="6"/>
      <c r="CD130" s="6"/>
      <c r="CE130" s="6"/>
      <c r="CF130" s="6"/>
      <c r="CG130" s="6"/>
      <c r="CH130" s="6"/>
      <c r="CI130" s="6"/>
      <c r="CJ130" s="6"/>
      <c r="CK130" s="6"/>
      <c r="CL130" s="6"/>
      <c r="CM130" s="6"/>
      <c r="CN130" s="6"/>
      <c r="CO130" s="6"/>
      <c r="CP130" s="6"/>
      <c r="CQ130" s="6"/>
      <c r="CR130" s="6"/>
      <c r="CS130" s="6"/>
      <c r="CT130" s="6"/>
    </row>
    <row r="131" spans="54:98" x14ac:dyDescent="0.3">
      <c r="BB131" s="6"/>
      <c r="BC131" s="6"/>
      <c r="BD131" s="6"/>
      <c r="BE131" s="175"/>
      <c r="BF131" s="6"/>
      <c r="BG131" s="6"/>
      <c r="BH131" s="6"/>
      <c r="BI131" s="6"/>
      <c r="BJ131" s="6"/>
      <c r="BK131" s="6"/>
      <c r="BL131" s="6"/>
      <c r="BM131" s="6"/>
      <c r="BN131" s="6"/>
      <c r="BO131" s="6"/>
      <c r="BP131" s="6"/>
      <c r="BQ131" s="6"/>
      <c r="BR131" s="6"/>
      <c r="BS131" s="6"/>
      <c r="BT131" s="6"/>
      <c r="BU131" s="6"/>
      <c r="BV131" s="6"/>
      <c r="BW131" s="6"/>
      <c r="BX131" s="6"/>
      <c r="BY131" s="6"/>
      <c r="BZ131" s="6"/>
      <c r="CA131" s="6"/>
      <c r="CB131" s="6"/>
      <c r="CC131" s="6"/>
      <c r="CD131" s="6"/>
      <c r="CE131" s="6"/>
      <c r="CF131" s="6"/>
      <c r="CG131" s="6"/>
      <c r="CH131" s="6"/>
      <c r="CI131" s="6"/>
      <c r="CJ131" s="6"/>
      <c r="CK131" s="6"/>
      <c r="CL131" s="6"/>
      <c r="CM131" s="6"/>
      <c r="CN131" s="6"/>
      <c r="CO131" s="6"/>
      <c r="CP131" s="6"/>
      <c r="CQ131" s="6"/>
      <c r="CR131" s="6"/>
      <c r="CS131" s="6"/>
      <c r="CT131" s="6"/>
    </row>
    <row r="132" spans="54:98" ht="17" x14ac:dyDescent="0.3">
      <c r="BB132" s="6"/>
      <c r="BC132" s="6"/>
      <c r="BD132" s="6"/>
      <c r="BE132" s="175"/>
      <c r="BF132" s="49"/>
      <c r="BG132" s="6"/>
      <c r="BH132" s="6"/>
      <c r="BI132" s="10"/>
      <c r="BJ132" s="6"/>
      <c r="BK132" s="6"/>
      <c r="BL132" s="6"/>
      <c r="BM132" s="49"/>
      <c r="BN132" s="49"/>
      <c r="BO132" s="49"/>
      <c r="BP132" s="49"/>
      <c r="BQ132" s="49"/>
      <c r="BR132" s="49"/>
      <c r="BS132" s="49"/>
      <c r="BT132" s="49"/>
      <c r="BU132" s="49"/>
      <c r="BV132" s="49"/>
      <c r="BW132" s="49"/>
      <c r="BX132" s="49"/>
      <c r="BY132" s="49"/>
      <c r="BZ132" s="49"/>
      <c r="CA132" s="49"/>
      <c r="CB132" s="49"/>
      <c r="CC132" s="49"/>
      <c r="CD132" s="49"/>
      <c r="CE132" s="49"/>
      <c r="CF132" s="49"/>
      <c r="CG132" s="49"/>
      <c r="CH132" s="49"/>
      <c r="CI132" s="49"/>
      <c r="CJ132" s="49"/>
      <c r="CK132" s="49"/>
      <c r="CL132" s="49"/>
      <c r="CM132" s="49"/>
      <c r="CN132" s="49"/>
      <c r="CO132" s="49"/>
      <c r="CP132" s="49"/>
      <c r="CQ132" s="49"/>
      <c r="CR132" s="6"/>
      <c r="CS132" s="6"/>
      <c r="CT132" s="6"/>
    </row>
    <row r="133" spans="54:98" ht="17" x14ac:dyDescent="0.3">
      <c r="BB133" s="6"/>
      <c r="BC133" s="6"/>
      <c r="BD133" s="6"/>
      <c r="BE133" s="175"/>
      <c r="BF133" s="49"/>
      <c r="BG133" s="6"/>
      <c r="BH133" s="6"/>
      <c r="BI133" s="10"/>
      <c r="BJ133" s="6"/>
      <c r="BK133" s="6"/>
      <c r="BL133" s="6"/>
      <c r="BM133" s="49"/>
      <c r="BN133" s="49"/>
      <c r="BO133" s="49"/>
      <c r="BP133" s="49"/>
      <c r="BQ133" s="49"/>
      <c r="BR133" s="49"/>
      <c r="BS133" s="49"/>
      <c r="BT133" s="49"/>
      <c r="BU133" s="49"/>
      <c r="BV133" s="49"/>
      <c r="BW133" s="49"/>
      <c r="BX133" s="49"/>
      <c r="BY133" s="49"/>
      <c r="BZ133" s="49"/>
      <c r="CA133" s="49"/>
      <c r="CB133" s="49"/>
      <c r="CC133" s="49"/>
      <c r="CD133" s="49"/>
      <c r="CE133" s="49"/>
      <c r="CF133" s="49"/>
      <c r="CG133" s="49"/>
      <c r="CH133" s="49"/>
      <c r="CI133" s="49"/>
      <c r="CJ133" s="49"/>
      <c r="CK133" s="49"/>
      <c r="CL133" s="49"/>
      <c r="CM133" s="49"/>
      <c r="CN133" s="49"/>
      <c r="CO133" s="49"/>
      <c r="CP133" s="49"/>
      <c r="CQ133" s="49"/>
      <c r="CR133" s="6"/>
      <c r="CS133" s="6"/>
      <c r="CT133" s="6"/>
    </row>
    <row r="134" spans="54:98" ht="17" x14ac:dyDescent="0.3">
      <c r="BB134" s="6"/>
      <c r="BC134" s="6"/>
      <c r="BD134" s="6"/>
      <c r="BE134" s="175"/>
      <c r="BF134" s="49"/>
      <c r="BG134" s="6"/>
      <c r="BH134" s="6"/>
      <c r="BI134" s="10"/>
      <c r="BJ134" s="6"/>
      <c r="BK134" s="6"/>
      <c r="BL134" s="6"/>
      <c r="BM134" s="49"/>
      <c r="BN134" s="49"/>
      <c r="BO134" s="49"/>
      <c r="BP134" s="49"/>
      <c r="BQ134" s="49"/>
      <c r="BR134" s="49"/>
      <c r="BS134" s="49"/>
      <c r="BT134" s="49"/>
      <c r="BU134" s="49"/>
      <c r="BV134" s="49"/>
      <c r="BW134" s="49"/>
      <c r="BX134" s="49"/>
      <c r="BY134" s="49"/>
      <c r="BZ134" s="49"/>
      <c r="CA134" s="49"/>
      <c r="CB134" s="49"/>
      <c r="CC134" s="49"/>
      <c r="CD134" s="49"/>
      <c r="CE134" s="49"/>
      <c r="CF134" s="49"/>
      <c r="CG134" s="49"/>
      <c r="CH134" s="49"/>
      <c r="CI134" s="49"/>
      <c r="CJ134" s="49"/>
      <c r="CK134" s="49"/>
      <c r="CL134" s="49"/>
      <c r="CM134" s="49"/>
      <c r="CN134" s="49"/>
      <c r="CO134" s="49"/>
      <c r="CP134" s="49"/>
      <c r="CQ134" s="49"/>
      <c r="CR134" s="6"/>
      <c r="CS134" s="6"/>
      <c r="CT134" s="6"/>
    </row>
    <row r="135" spans="54:98" ht="17" x14ac:dyDescent="0.3">
      <c r="BB135" s="6"/>
      <c r="BC135" s="6"/>
      <c r="BD135" s="6"/>
      <c r="BE135" s="175"/>
      <c r="BF135" s="49"/>
      <c r="BG135" s="6"/>
      <c r="BH135" s="6"/>
      <c r="BI135" s="10"/>
      <c r="BJ135" s="6"/>
      <c r="BK135" s="6"/>
      <c r="BL135" s="6"/>
      <c r="BM135" s="49"/>
      <c r="BN135" s="49"/>
      <c r="BO135" s="49"/>
      <c r="BP135" s="49"/>
      <c r="BQ135" s="49"/>
      <c r="BR135" s="49"/>
      <c r="BS135" s="49"/>
      <c r="BT135" s="49"/>
      <c r="BU135" s="49"/>
      <c r="BV135" s="49"/>
      <c r="BW135" s="49"/>
      <c r="BX135" s="49"/>
      <c r="BY135" s="49"/>
      <c r="BZ135" s="49"/>
      <c r="CA135" s="49"/>
      <c r="CB135" s="49"/>
      <c r="CC135" s="49"/>
      <c r="CD135" s="49"/>
      <c r="CE135" s="49"/>
      <c r="CF135" s="49"/>
      <c r="CG135" s="49"/>
      <c r="CH135" s="49"/>
      <c r="CI135" s="49"/>
      <c r="CJ135" s="49"/>
      <c r="CK135" s="49"/>
      <c r="CL135" s="49"/>
      <c r="CM135" s="49"/>
      <c r="CN135" s="49"/>
      <c r="CO135" s="49"/>
      <c r="CP135" s="49"/>
      <c r="CQ135" s="49"/>
      <c r="CR135" s="6"/>
      <c r="CS135" s="6"/>
      <c r="CT135" s="6"/>
    </row>
    <row r="136" spans="54:98" ht="17" x14ac:dyDescent="0.3">
      <c r="BB136" s="6"/>
      <c r="BC136" s="6"/>
      <c r="BD136" s="6"/>
      <c r="BE136" s="175"/>
      <c r="BF136" s="49"/>
      <c r="BG136" s="6"/>
      <c r="BH136" s="6"/>
      <c r="BI136" s="10"/>
      <c r="BJ136" s="6"/>
      <c r="BK136" s="6"/>
      <c r="BL136" s="6"/>
      <c r="BM136" s="49"/>
      <c r="BN136" s="49"/>
      <c r="BO136" s="49"/>
      <c r="BP136" s="49"/>
      <c r="BQ136" s="49"/>
      <c r="BR136" s="49"/>
      <c r="BS136" s="49"/>
      <c r="BT136" s="49"/>
      <c r="BU136" s="49"/>
      <c r="BV136" s="49"/>
      <c r="BW136" s="49"/>
      <c r="BX136" s="49"/>
      <c r="BY136" s="49"/>
      <c r="BZ136" s="49"/>
      <c r="CA136" s="49"/>
      <c r="CB136" s="49"/>
      <c r="CC136" s="49"/>
      <c r="CD136" s="49"/>
      <c r="CE136" s="49"/>
      <c r="CF136" s="49"/>
      <c r="CG136" s="49"/>
      <c r="CH136" s="49"/>
      <c r="CI136" s="49"/>
      <c r="CJ136" s="49"/>
      <c r="CK136" s="49"/>
      <c r="CL136" s="49"/>
      <c r="CM136" s="49"/>
      <c r="CN136" s="49"/>
      <c r="CO136" s="49"/>
      <c r="CP136" s="49"/>
      <c r="CQ136" s="49"/>
      <c r="CR136" s="6"/>
      <c r="CS136" s="6"/>
      <c r="CT136" s="6"/>
    </row>
    <row r="137" spans="54:98" x14ac:dyDescent="0.3">
      <c r="BB137" s="6"/>
      <c r="BC137" s="6"/>
      <c r="BD137" s="6"/>
      <c r="BE137" s="175"/>
      <c r="BF137" s="6"/>
      <c r="BG137" s="6"/>
      <c r="BH137" s="6"/>
      <c r="BI137" s="10"/>
      <c r="BJ137" s="6"/>
      <c r="BK137" s="6"/>
      <c r="BL137" s="6"/>
      <c r="BM137" s="6"/>
      <c r="BN137" s="6"/>
      <c r="BO137" s="6"/>
      <c r="BP137" s="6"/>
      <c r="BQ137" s="6"/>
      <c r="BR137" s="6"/>
      <c r="BS137" s="6"/>
      <c r="BT137" s="6"/>
      <c r="BU137" s="6"/>
      <c r="BV137" s="6"/>
      <c r="BW137" s="6"/>
      <c r="BX137" s="6"/>
      <c r="BY137" s="6"/>
      <c r="BZ137" s="6"/>
      <c r="CA137" s="6"/>
      <c r="CB137" s="6"/>
      <c r="CC137" s="6"/>
      <c r="CD137" s="6"/>
      <c r="CE137" s="6"/>
      <c r="CF137" s="6"/>
      <c r="CG137" s="6"/>
      <c r="CH137" s="6"/>
      <c r="CI137" s="6"/>
      <c r="CJ137" s="6"/>
      <c r="CK137" s="6"/>
      <c r="CL137" s="6"/>
      <c r="CM137" s="6"/>
      <c r="CN137" s="6"/>
      <c r="CO137" s="6"/>
      <c r="CP137" s="6"/>
      <c r="CQ137" s="6"/>
      <c r="CR137" s="6"/>
      <c r="CS137" s="6"/>
      <c r="CT137" s="6"/>
    </row>
    <row r="138" spans="54:98" x14ac:dyDescent="0.3">
      <c r="BE138" s="2"/>
    </row>
    <row r="139" spans="54:98" x14ac:dyDescent="0.3">
      <c r="BF139" s="193"/>
      <c r="BM139" s="193"/>
      <c r="BN139" s="193"/>
      <c r="BO139" s="193"/>
      <c r="BP139" s="193"/>
      <c r="BQ139" s="193"/>
      <c r="BR139" s="193"/>
      <c r="BS139" s="193"/>
      <c r="BT139" s="193"/>
      <c r="BU139" s="193"/>
      <c r="BV139" s="193"/>
      <c r="BW139" s="193"/>
      <c r="BX139" s="193"/>
      <c r="BY139" s="193"/>
      <c r="BZ139" s="193"/>
      <c r="CA139" s="193"/>
      <c r="CB139" s="193"/>
      <c r="CC139" s="193"/>
      <c r="CD139" s="193"/>
      <c r="CE139" s="193"/>
      <c r="CF139" s="193"/>
      <c r="CG139" s="193"/>
      <c r="CH139" s="193"/>
      <c r="CI139" s="193"/>
      <c r="CJ139" s="193"/>
      <c r="CK139" s="193"/>
      <c r="CL139" s="193"/>
      <c r="CM139" s="193"/>
      <c r="CN139" s="193"/>
      <c r="CO139" s="193"/>
      <c r="CP139" s="193"/>
      <c r="CQ139" s="193"/>
    </row>
    <row r="142" spans="54:98" x14ac:dyDescent="0.3">
      <c r="BF142" s="24"/>
      <c r="BM142" s="24"/>
      <c r="BN142" s="24"/>
      <c r="BO142" s="24"/>
      <c r="BP142" s="24"/>
      <c r="BQ142" s="24"/>
      <c r="BR142" s="24"/>
      <c r="BS142" s="24"/>
      <c r="BT142" s="24"/>
      <c r="BU142" s="24"/>
      <c r="BV142" s="24"/>
      <c r="BW142" s="24"/>
      <c r="BX142" s="24"/>
      <c r="BY142" s="24"/>
      <c r="BZ142" s="24"/>
      <c r="CA142" s="24"/>
      <c r="CB142" s="24"/>
      <c r="CC142" s="24"/>
      <c r="CD142" s="24"/>
      <c r="CE142" s="24"/>
      <c r="CF142" s="24"/>
      <c r="CG142" s="24"/>
      <c r="CH142" s="24"/>
      <c r="CI142" s="24"/>
      <c r="CJ142" s="32"/>
      <c r="CK142" s="24"/>
      <c r="CL142" s="24"/>
      <c r="CM142" s="24"/>
      <c r="CN142" s="32"/>
      <c r="CQ142" s="32"/>
    </row>
    <row r="143" spans="54:98" x14ac:dyDescent="0.3">
      <c r="BF143" s="24"/>
      <c r="BM143" s="24"/>
      <c r="BN143" s="24"/>
      <c r="BO143" s="24"/>
      <c r="BP143" s="24"/>
      <c r="BQ143" s="24"/>
      <c r="BR143" s="24"/>
      <c r="BS143" s="24"/>
      <c r="BT143" s="24"/>
      <c r="BU143" s="24"/>
      <c r="BV143" s="24"/>
      <c r="BW143" s="24"/>
      <c r="BX143" s="24"/>
      <c r="BY143" s="24"/>
      <c r="BZ143" s="24"/>
      <c r="CA143" s="24"/>
      <c r="CB143" s="24"/>
      <c r="CC143" s="24"/>
      <c r="CD143" s="24"/>
      <c r="CE143" s="24"/>
      <c r="CF143" s="24"/>
      <c r="CG143" s="24"/>
      <c r="CH143" s="24"/>
      <c r="CI143" s="24"/>
      <c r="CJ143" s="24"/>
      <c r="CK143" s="24"/>
      <c r="CL143" s="24"/>
      <c r="CM143" s="24"/>
      <c r="CN143" s="24"/>
      <c r="CO143" s="24"/>
      <c r="CP143" s="24"/>
      <c r="CQ143" s="24"/>
    </row>
    <row r="144" spans="54:98" x14ac:dyDescent="0.3">
      <c r="BF144" s="24"/>
      <c r="BM144" s="24"/>
      <c r="BN144" s="24"/>
      <c r="BO144" s="24"/>
      <c r="BP144" s="24"/>
      <c r="BQ144" s="24"/>
      <c r="BR144" s="24"/>
      <c r="BS144" s="24"/>
      <c r="BT144" s="24"/>
      <c r="BU144" s="24"/>
      <c r="BV144" s="24"/>
      <c r="BW144" s="24"/>
      <c r="BX144" s="24"/>
      <c r="BY144" s="24"/>
      <c r="BZ144" s="24"/>
      <c r="CA144" s="24"/>
      <c r="CB144" s="24"/>
      <c r="CC144" s="24"/>
      <c r="CD144" s="24"/>
      <c r="CE144" s="24"/>
      <c r="CF144" s="24"/>
      <c r="CG144" s="24"/>
      <c r="CH144" s="24"/>
      <c r="CI144" s="24"/>
      <c r="CJ144" s="24"/>
      <c r="CK144" s="24"/>
      <c r="CL144" s="24"/>
      <c r="CM144" s="24"/>
      <c r="CN144" s="24"/>
      <c r="CO144" s="24"/>
      <c r="CP144" s="24"/>
      <c r="CQ144" s="24"/>
    </row>
    <row r="145" spans="58:95" x14ac:dyDescent="0.3">
      <c r="BF145" s="24"/>
      <c r="BM145" s="24"/>
      <c r="BN145" s="24"/>
      <c r="BO145" s="24"/>
      <c r="BP145" s="24"/>
      <c r="BQ145" s="24"/>
      <c r="BR145" s="24"/>
      <c r="BS145" s="24"/>
      <c r="BT145" s="24"/>
      <c r="BU145" s="24"/>
      <c r="BV145" s="24"/>
      <c r="BW145" s="24"/>
      <c r="BX145" s="24"/>
      <c r="BY145" s="24"/>
      <c r="BZ145" s="24"/>
      <c r="CA145" s="24"/>
      <c r="CB145" s="24"/>
      <c r="CC145" s="24"/>
      <c r="CD145" s="24"/>
      <c r="CE145" s="24"/>
      <c r="CF145" s="24"/>
      <c r="CG145" s="24"/>
      <c r="CH145" s="24"/>
      <c r="CI145" s="24"/>
      <c r="CJ145" s="32"/>
      <c r="CK145" s="24"/>
      <c r="CL145" s="24"/>
      <c r="CM145" s="24"/>
      <c r="CN145" s="32"/>
      <c r="CQ145" s="32"/>
    </row>
    <row r="151" spans="58:95" ht="17" x14ac:dyDescent="0.3">
      <c r="BF151" s="192"/>
      <c r="BM151" s="192"/>
      <c r="BN151" s="192"/>
      <c r="BO151" s="192"/>
      <c r="BP151" s="192"/>
      <c r="BQ151" s="192"/>
      <c r="BR151" s="192"/>
      <c r="BS151" s="192"/>
      <c r="BT151" s="192"/>
      <c r="BU151" s="192"/>
      <c r="BV151" s="192"/>
      <c r="BW151" s="192"/>
      <c r="BX151" s="192"/>
      <c r="BY151" s="192"/>
      <c r="BZ151" s="192"/>
      <c r="CA151" s="192"/>
      <c r="CB151" s="192"/>
      <c r="CC151" s="192"/>
      <c r="CD151" s="192"/>
      <c r="CE151" s="192"/>
      <c r="CF151" s="192"/>
      <c r="CG151" s="192"/>
      <c r="CH151" s="192"/>
      <c r="CI151" s="192"/>
      <c r="CJ151" s="192"/>
      <c r="CK151" s="192"/>
      <c r="CL151" s="192"/>
      <c r="CM151" s="192"/>
      <c r="CN151" s="192"/>
      <c r="CO151" s="192"/>
      <c r="CP151" s="192"/>
      <c r="CQ151" s="192"/>
    </row>
    <row r="155" spans="58:95" x14ac:dyDescent="0.3">
      <c r="BF155" s="24"/>
      <c r="BM155" s="24"/>
      <c r="BN155" s="24"/>
      <c r="BO155" s="24"/>
      <c r="BP155" s="24"/>
      <c r="BQ155" s="24"/>
      <c r="BR155" s="24"/>
      <c r="BS155" s="24"/>
      <c r="BT155" s="24"/>
      <c r="BU155" s="24"/>
      <c r="BV155" s="24"/>
      <c r="BW155" s="24"/>
      <c r="BX155" s="24"/>
      <c r="BY155" s="24"/>
      <c r="BZ155" s="24"/>
      <c r="CA155" s="24"/>
      <c r="CB155" s="24"/>
      <c r="CC155" s="24"/>
      <c r="CD155" s="24"/>
      <c r="CE155" s="24"/>
      <c r="CF155" s="24"/>
      <c r="CG155" s="24"/>
      <c r="CH155" s="24"/>
      <c r="CI155" s="24"/>
      <c r="CJ155" s="32"/>
      <c r="CK155" s="24"/>
      <c r="CL155" s="24"/>
      <c r="CM155" s="24"/>
      <c r="CN155" s="32"/>
      <c r="CQ155" s="32"/>
    </row>
  </sheetData>
  <protectedRanges>
    <protectedRange sqref="F22 AC24:AC32 K13:O13 AC45:AF51 AE29 G36:J39 F36:F38 L17 H14:J33 F23:G33 AJ17:AK24 AJ25 Q18:R18 O14:O22 T17:V34 L40:N45 V35 AR4:AS4 AU15 BC5:BE5 M14:N39 K14:L16 K18:L39 P22:Q22 AD44 P19:R20 O10:O12 AD5:AE10 AA6:AA15 AC18:AC22 Y34:Y36 F9:G21 AH17:AI28 AH30:AH33 AF34 AF18:AG33 AF36:AF42 T10:T16 P13:R17 AU14:AV14 AT11:AV11 AS17:AT25 AF15 AP13:AR13 AS13:AS16 AC11:AS12 AT14:AT16 AW13:AW19 A6 Q6:Q7 P7 X3:X6 K4:M4 J6:K12 H4:H13 I5:I12 X8 V8 Q12 U9:W10 P10:R10 AB5:AB16 R7:U7 W7 AC4:AC10 Z3:Z4 O3:P3 R3:T3 Y38:Z41 Y7:Z10 AA17:AB32 L5:N12 F3:G4 F6:G6 B4:B6 A2 T37:V51 Y45:Z51 AK26:AK51 AI29:AI51 AG35:AH51 S9:S51 AL20:AP51 X41:X51 O23:P26 Y15:Y32 X15:X39 Z65:AP65 C28:C34 A69:Y69 AQ69:BA69 BA13:BA68 AZ14:AZ68 AQ20:AR68 AS28:AT68 AU16:AV68 AW23:AY68 C65:Y68 AF16:AG16 AC36:AC42 AA36:AB51 AT4:AV6 A70:BA87 AR7:AV10 AL17:AO19 AR16:AR19 W15:W51 U15:V15 Z15:Z36 BH4:BH76 A94:BA101 G88:BA93 BM207:CQ65571 A104:BA65555 CS5 BG5 BC97:BE97 CT4:CT76 CS97:CT97 CS207:CT65571 AJ27:AJ31 AJ33:AJ51 AC13:AE17 AH13:AO16 AF13:AG14 P28:Q51 O28:O45 F46:O51 R22:R44 R46:R51 BG97:BI97 BB207:BI65571 AQ4:AQ10 AN4:AP8 AF4:AL10 AM4:AM9 AM10:AP10 A4 R4:W6 D4:E34 C4:C26 A33 A9:B32 A34:B34 C36:E64 A36:B68 A35 C35:J35 V1:V2 AD18:AE28 AD30:AE40" name="範圍1"/>
    <protectedRange sqref="AF17:AG17" name="範圍1_2"/>
    <protectedRange sqref="I13:J13" name="範圍1_7"/>
    <protectedRange sqref="BE16:BE17 BC6:BE15 BI71:BI74 BC18:BE24 BC27:BE35 BC38:BE62 BC69:BE74 CS6:CS15 CS18:CS24 CS27:CS35 CS38:CS62 CS69:CS74 BG6:BG15 BG18:BG24 BG27:BG35 BG38:BG62 BG69:BG74" name="範圍1_8_5"/>
    <protectedRange sqref="BC25:BE26 CS25:CS26 BG25:BG26" name="範圍1_8_1_3"/>
    <protectedRange sqref="F44:K45 F40:K40" name="範圍1_9"/>
    <protectedRange sqref="T35:U35" name="範圍1_10"/>
    <protectedRange sqref="J43:K43 F43:H43 F41:K42" name="範圍1_9_1_1"/>
    <protectedRange sqref="BC3:BE4 CS3:CS4 BG3:BG4" name="範圍1_1"/>
    <protectedRange sqref="CR5" name="範圍1_3_1_2"/>
    <protectedRange sqref="BB5 BM5:CQ5 BF5" name="範圍1_4_1_1"/>
    <protectedRange sqref="BI5" name="範圍1_5"/>
    <protectedRange sqref="BI6:BI13 BI31:BI34 BI28:BI29 BI15:BI16 BI18:BI24 BI38:BI70" name="範圍1_8_5_1"/>
    <protectedRange sqref="BI30" name="範圍1_4_2_3_1"/>
    <protectedRange sqref="BI27" name="範圍1_5_1_3_1"/>
    <protectedRange sqref="BI35" name="範圍1_6_1_3_1"/>
    <protectedRange sqref="BI14" name="範圍1_4_1_2_3_1"/>
    <protectedRange sqref="BI36:BI37" name="範圍1_4_1_1_1_3_1"/>
    <protectedRange sqref="BI25:BI26" name="範圍1_8_1_3_1"/>
    <protectedRange sqref="A102:BA103" name="範圍1_8_3"/>
    <protectedRange sqref="BH78:BI79 BB78:BB79 CT78:CT79 BM78:CQ79 BF78:BF79" name="範圍1_8_3_2"/>
    <protectedRange sqref="BC78:BE79 CS78:CS79 BG78:BG79" name="範圍1_8_5_2_1_1"/>
    <protectedRange sqref="BM97:CP97 BB97 BF97" name="範圍1_5_2"/>
    <protectedRange sqref="CH76:CM76 CH30:CM30 CO7:CP7 CO142:CP142 CO145:CP145 CO155:CP155 CO63:CP63 CO60:CP61 CO71:CP74 CO56:CP58 EB9:EC10 EB15:EC16 CO65:CP65 EB21:EC23 EB28:EC28 EB30:EC31 CO9:CP12 EB37:EC37 EB39:EC41 EB45:EC48 EB52:EC52 EB54:EC55 CO53:CP53 CO34:CP34 CO39:CP49 CO29:CP31 CO15:CP27 CO67:CP67 EB12:EC12 CO76:CP76" name="範圍1_4_1"/>
    <protectedRange sqref="BB31 BB15 BM31:CH31 BM15:CH15 CM31 CM15 BM145:CH145 CM145 BF31 BF15 BF145" name="範圍1_3_1_3"/>
    <protectedRange sqref="BB6:BB14 BB32:BB70 BM16:CH17 BM9:CI12 BB16:BB30 CM16:CM27 CM7 BM7:CH7 BM19:CH27 BM18:CG18 CC39:CG45 BM30:CG30 CM60:CM61 CM63 BM142:CI142 CM142 BM143:CQ144 BM34:CH34 CC46:CH49 CM155 BM155:CH155 BM63:CH63 BM60:CH61 CM56:CM58 BM56:CH58 CM9:CM12 DZ9:DZ10 DZ15:DZ16 CZ15:CZ17 BM8:CQ8 CM65 BM65:CH65 DZ21:DZ23 CZ21:CZ25 DZ28 DZ30:DZ31 CZ28:CZ31 BM39:CB49 CM34 CZ37:DU37 DZ37 CZ38:ED38 CZ39:DU39 DZ39 CZ45:DU48 DZ45:DZ48 CZ52:DU52 DZ52 CZ53:ED53 DZ54:DZ55 CZ54:DU55 BM53:CH53 CM53 CM39:CM49 BM35:CQ38 CM29 BM29:CH29 BM28:CQ28 BM13:CQ14 CZ8:CZ12 DB9:DV9 DB10:DU10 DB15:DU16 DB17:ED17 DB21:DU23 DB24:ED25 DB28:DU28 DB29:ED29 DB30:DU31 DB8:EF8 BM50:CQ52 CM67 BM67:CH67 BM66:CQ66 BM32:CQ33 DZ12 DB12:DU12 DA11:ED11 BM68:CQ70 BM64:CQ64 BM54:CQ55 BM62:CQ62 BM59:CQ59 BF142:BF144 BF155 BF16:BF30 BF6:BF14 BF32:BF70 BM6:CQ6" name="範圍1_8_2_2"/>
    <protectedRange sqref="BB75:BB76 CM71:CM74 BM76:CG76 DZ40:DZ41 BF76" name="範圍1_8_5_1_1_2"/>
    <protectedRange sqref="CK15 CK31 CK145" name="範圍1_3_1_3_1"/>
    <protectedRange sqref="CK7 CK16:CK27 CJ39:CJ45 CK60:CK61 CK63 CK142 CK46:CK49 CK155 CK56:CK58 CK9:CK12 DX9:DX10 DX15:DX16 CK65 DX21:DX23 DX28 DX30:DX31 CK34 DX37 DX39 DX45:DX48 DX52 DX54:DX55 CK53 CK29 CK67 DX12" name="範圍1_8_2_2_1"/>
    <protectedRange sqref="CK71:CK74 DX40:DX41" name="範圍1_8_5_1_1_2_1"/>
    <protectedRange sqref="CL7 CK39:CK45 CL60:CL61 CL63 CL142 CL145 CL46:CL49 CL155 CL71:CL74 CL56:CL58 CL9:CL12 DY9:DY10 DY15:DY16 CL65 DY21:DY23 DY28 DY30:DY31 CL31 DY37 DY39:DY41 DY45:DY48 DY52 DY54:DY55 CL53 CL34 CL29 CL15:CL27 CL67 DY12" name="範圍1_8_2_1_1_3"/>
    <protectedRange sqref="CJ7 CI39:CI45 CJ60:CJ61 CJ63 CJ142 CJ145 CJ46:CJ49 CJ155 CJ71:CJ74 CJ56:CJ58 CJ9:CJ12 DW9:DW10 DW15:DW16 CJ65 DW21:DW23 DW28 DW30:DW31 CJ31 DW37 DW39:DW41 DW45:DW48 DW52 DW54:DW55 CJ53 CJ34 CJ29 CJ15:CJ27 CJ67 DW12" name="範圍1_8_2_1_1_2_3_1_1_1_1_1_1_2"/>
    <protectedRange sqref="CH18" name="範圍1_8_2_1_1_2_3_1_1_1_1_1_1_4"/>
    <protectedRange sqref="BM71:CH74 BB71:BB74 CZ40:DU41 BF71:BF74" name="範圍1_8_5_1_1_2_2"/>
    <protectedRange sqref="CN7 CN142 CN145 CN155 CN63 CN60:CN61 CN71:CN74 CN56:CN58 EA9:EA10 EA15:EA16 CN65 EA21:EA23 EA28 EA30:EA31 CN9:CN12 EA37 EA39:EA41 EA45:EA48 EA52 EA54:EA55 CN53 CN34 CN39:CN49 CN29:CN31 CN15:CN27 CN67 EA12 CN76" name="範圍1_8_2_1_1_2_3_1_1_1_1_1_1_1_2"/>
    <protectedRange sqref="CQ7 CQ142 CQ145 CQ155 CQ63 CQ60:CQ61 CQ71:CQ74 CQ56:CQ58 ED9:ED10 ED15:ED16 CQ65 ED21:ED23 ED28 ED30:ED31 CQ9:CQ12 ED37 ED39:ED41 ED45:ED48 ED52 ED54:ED55 CQ53 CQ34 CQ39:CQ49 CQ29:CQ31 CQ15:CQ27 CQ67 ED12 CQ76" name="範圍1_8_2_1_1_2_3_1_1_1_1_1_1_1_1_2"/>
    <protectedRange sqref="CI7 CI53 CH39:CH45 CI145 CI46:CI49 CI155 CI63 CI60:CI61 CI71:CI74 CI56:CI58 DV10 DV15:DV16 CI65 DV21:DV23 DV28 DV30 CI31 DV37 DV39:DV41 DV45:DV48 DV52 DV54:DV55 CI34 CI29 CI15:CI27 CI67" name="範圍1_8_2_1"/>
    <protectedRange sqref="DV12 DV31" name="範圍1_8_2_1_1_1_1"/>
    <protectedRange sqref="AC33:AC35 AA35:AB35 AB33:AB34" name="範圍1_5_3"/>
    <protectedRange sqref="AA34" name="範圍1_13_1"/>
    <protectedRange sqref="AA33" name="範圍1_15"/>
    <protectedRange sqref="AG52:AP64 Z52:AF61 F52:Y52" name="範圍1_18_4_1_1"/>
    <protectedRange sqref="X55:Y58" name="範圍1_6_1_4_4_1_1"/>
    <protectedRange sqref="F55:U56 F58:U58 F57:I57 S57:U57" name="範圍1_11_1_4_4_1_1"/>
    <protectedRange sqref="F59:Y60" name="範圍1_14_1_1_5_4_1_1"/>
    <protectedRange sqref="J57:R57" name="範圍1_11_1_1_4_4_1_1"/>
    <protectedRange sqref="X61:Y64" name="範圍1_6_1_1_3_1_1_4_4_1_1"/>
    <protectedRange sqref="F64 S63:U63 J61:U62 F62 J64:U64" name="範圍1_11_1_5_1_1_5_4_1_1"/>
    <protectedRange sqref="V61:W64" name="範圍1_5_1_1_1_3_1_1_4_4_1_1"/>
    <protectedRange sqref="J63:R63" name="範圍1_11_1_1_1_3_1_1_3_4_1_1"/>
    <protectedRange sqref="G61:I64" name="範圍1_11_1_5_1_1_1_4_4_1_1"/>
    <protectedRange sqref="BE75 BC77:BD77 BD75:BD76 CS77 BG77" name="範圍1_8_5_1_1"/>
    <protectedRange sqref="BH77 CT77" name="範圍1_18"/>
    <protectedRange sqref="BI75:BI76" name="範圍1_8_5_4"/>
    <protectedRange sqref="BI77" name="範圍1_8_5_2_2"/>
    <protectedRange sqref="AW11:AW12 AW4:AX6 BA4:BA6 AY6:AZ6 AY4:AZ4 AW7:BA10" name="範圍1_6"/>
    <protectedRange sqref="AY5 AX12:AY12 AY11" name="範圍1_9_1_2_1"/>
    <protectedRange sqref="BB105:BB113 BM105:CI113 BI107:BI113 CJ107:CQ113 BH105:BI106 CT105:CT106 BF105:BF113" name="範圍1_11"/>
    <protectedRange sqref="BH100:BI100 CR103 CT100" name="範圍1_11_1"/>
    <protectedRange sqref="BD100:BE100" name="範圍1_1_1_1"/>
    <protectedRange sqref="CR100" name="範圍1_1_3_1"/>
    <protectedRange sqref="CR104" name="範圍1_6_2_1"/>
    <protectedRange sqref="BB98:BB99 BH98:BI99 BM98:CQ99 CT98:CT99 BF98:BF99" name="範圍1_8_3_1_1"/>
    <protectedRange sqref="BC98:BE99 CS98:CS99 BG98:BG99" name="範圍1_8_5_2_1_2"/>
    <protectedRange sqref="BB103 BM103:CQ103 BF103" name="範圍1_8_8_1"/>
    <protectedRange sqref="BB104 BM104:CQ104 BF104" name="範圍1_6_2_4_1"/>
    <protectedRange sqref="AQ17 AP14:AQ16 AP17:AP19" name="範圍1_4_1_2"/>
    <protectedRange sqref="Z11:Z14" name="範圍1_3_1"/>
    <protectedRange sqref="X11:X12 U11:W14 Y11" name="範圍1_3_1_1_1"/>
    <protectedRange sqref="X13:Y14" name="範圍1_6_1"/>
    <protectedRange sqref="Y12" name="範圍1_12_1"/>
    <protectedRange sqref="BC36:BE37 CS36:CS37 BG36:BG37" name="範圍1_8_5_1_2"/>
    <protectedRange sqref="BC63:BE68 CS63:CS68 BG63:BG68" name="範圍1_8_5_2"/>
    <protectedRange sqref="BB4 BK4:CQ4 BF4" name="範圍1_8"/>
    <protectedRange sqref="BI3:BJ4" name="範圍1_1_2"/>
    <protectedRange sqref="BC94:BE96 BH80:BH87 BG94:BH96 CT80:CT87 CS94:CT96" name="範圍1_11_3_1"/>
    <protectedRange sqref="CO91:CP96" name="範圍1_13_1_1"/>
    <protectedRange sqref="CQ80:CQ96 CH80:CH93 CJ94:CK96 CM80:CN96 CJ80:CJ93" name="範圍1_1_2_1_2_2"/>
    <protectedRange sqref="CH94:CI96 CI80:CI93" name="範圍1_1_2_1_1_1_1"/>
    <protectedRange sqref="BM91:CG95 BB91:BB95 BF91:BF95" name="範圍1_8_1_1_1"/>
    <protectedRange sqref="BM96:CG96 BB96 BF96" name="範圍1_1_1_1_8_1_1"/>
    <protectedRange sqref="CK80:CK93" name="範圍1_1_2_1_2_1_1"/>
    <protectedRange sqref="CL80:CL96" name="範圍1_8_2_1_1_3_1_2_1"/>
    <protectedRange sqref="A88:B88 A91:B91 E88:E93" name="範圍1_11_3_1_1"/>
    <protectedRange sqref="D88:D93" name="範圍1_8_2_1_1_1_1_1_1"/>
    <protectedRange sqref="BC88:BD88 BC91:BD91 BH88:BH93 CS88 CS91 BG88 BG91 CT88:CT93" name="範圍1_11_3_1_1_1"/>
    <protectedRange sqref="BB77 BM77:CQ77 BM75:CQ75 BF77 BF75" name="範圍1_4_1_2_1"/>
    <protectedRange sqref="CU62" name="範圍1_8_2_2_2"/>
    <protectedRange sqref="CV208:CV65572" name="範圍1_3"/>
    <protectedRange sqref="CV5" name="範圍1_4_1_1_1"/>
    <protectedRange sqref="CV78:CV79" name="範圍1_8_3_2_1"/>
    <protectedRange sqref="CV97" name="範圍1_5_2_1"/>
    <protectedRange sqref="CV30 CV59 CV62 CV75:CV76" name="範圍1_4_1_3"/>
    <protectedRange sqref="CV6:CV29 CV31:CV58 CV60:CV61 CV63:CV74" name="範圍1_8_2_1_1_2_3_1_1_1_1_1_1_2_1"/>
    <protectedRange sqref="CV107:CV113" name="範圍1_11_2"/>
    <protectedRange sqref="CV98:CV99" name="範圍1_8_3_1_1_1"/>
    <protectedRange sqref="CV103" name="範圍1_8_8_1_1"/>
    <protectedRange sqref="CV104" name="範圍1_6_2_4_1_1"/>
    <protectedRange sqref="CV4" name="範圍1_8_1"/>
    <protectedRange sqref="CV80:CV96" name="範圍1_1_2_1_2_2_1"/>
    <protectedRange sqref="CV77" name="範圍1_4_1_2_1_1"/>
    <protectedRange sqref="CV105" name="範圍1_11_2_1"/>
  </protectedRanges>
  <mergeCells count="108">
    <mergeCell ref="BC91:BC93"/>
    <mergeCell ref="BG91:BG93"/>
    <mergeCell ref="CS91:CS93"/>
    <mergeCell ref="BC94:BC96"/>
    <mergeCell ref="BG94:BG96"/>
    <mergeCell ref="CS94:CS96"/>
    <mergeCell ref="Q49:R49"/>
    <mergeCell ref="BC80:BC87"/>
    <mergeCell ref="BG80:BG87"/>
    <mergeCell ref="CS80:CS87"/>
    <mergeCell ref="BC88:BC90"/>
    <mergeCell ref="BG88:BG90"/>
    <mergeCell ref="CS88:CS90"/>
    <mergeCell ref="AG41:AH41"/>
    <mergeCell ref="AG42:AH42"/>
    <mergeCell ref="F43:I43"/>
    <mergeCell ref="F44:G44"/>
    <mergeCell ref="AG44:AH44"/>
    <mergeCell ref="AC45:AG48"/>
    <mergeCell ref="AH47:AI47"/>
    <mergeCell ref="AG36:AH36"/>
    <mergeCell ref="T37:U37"/>
    <mergeCell ref="AC37:AG39"/>
    <mergeCell ref="AM37:AN37"/>
    <mergeCell ref="AM38:AN38"/>
    <mergeCell ref="F40:G40"/>
    <mergeCell ref="AJ40:AK40"/>
    <mergeCell ref="AD34:AE34"/>
    <mergeCell ref="A35:E35"/>
    <mergeCell ref="F35:G35"/>
    <mergeCell ref="H35:J35"/>
    <mergeCell ref="T35:U35"/>
    <mergeCell ref="AB35:AC35"/>
    <mergeCell ref="AF34:AG34"/>
    <mergeCell ref="AM30:AN30"/>
    <mergeCell ref="AM31:AN31"/>
    <mergeCell ref="AH32:AI32"/>
    <mergeCell ref="AJ32:AK32"/>
    <mergeCell ref="A33:E33"/>
    <mergeCell ref="F33:G33"/>
    <mergeCell ref="T33:U33"/>
    <mergeCell ref="AB28:AC28"/>
    <mergeCell ref="AB29:AC29"/>
    <mergeCell ref="AG29:AH29"/>
    <mergeCell ref="B30:E30"/>
    <mergeCell ref="F30:G30"/>
    <mergeCell ref="T30:U30"/>
    <mergeCell ref="AC30:AG32"/>
    <mergeCell ref="L25:M25"/>
    <mergeCell ref="L26:M26"/>
    <mergeCell ref="B27:E27"/>
    <mergeCell ref="F27:G27"/>
    <mergeCell ref="L27:M27"/>
    <mergeCell ref="T27:U27"/>
    <mergeCell ref="F21:G21"/>
    <mergeCell ref="V21:W21"/>
    <mergeCell ref="AA22:AB22"/>
    <mergeCell ref="AM22:AN22"/>
    <mergeCell ref="AM23:AN23"/>
    <mergeCell ref="AJ24:AK24"/>
    <mergeCell ref="F22:H24"/>
    <mergeCell ref="V16:V17"/>
    <mergeCell ref="AF17:AG17"/>
    <mergeCell ref="Q18:R19"/>
    <mergeCell ref="AP18:AQ19"/>
    <mergeCell ref="AS18:AT18"/>
    <mergeCell ref="Q20:R20"/>
    <mergeCell ref="AD20:AG23"/>
    <mergeCell ref="I13:J13"/>
    <mergeCell ref="U13:V13"/>
    <mergeCell ref="I14:J14"/>
    <mergeCell ref="AJ14:AK14"/>
    <mergeCell ref="AU14:AV14"/>
    <mergeCell ref="F15:G15"/>
    <mergeCell ref="U15:V15"/>
    <mergeCell ref="AJ15:AK15"/>
    <mergeCell ref="AU15:AW16"/>
    <mergeCell ref="F16:G17"/>
    <mergeCell ref="AO11:AP11"/>
    <mergeCell ref="AQ11:AR12"/>
    <mergeCell ref="AT11:AU11"/>
    <mergeCell ref="K12:L12"/>
    <mergeCell ref="AJ12:AK12"/>
    <mergeCell ref="AO12:AP12"/>
    <mergeCell ref="A11:B11"/>
    <mergeCell ref="K11:L11"/>
    <mergeCell ref="V11:X12"/>
    <mergeCell ref="AA11:AB11"/>
    <mergeCell ref="AD11:AG12"/>
    <mergeCell ref="AJ11:AK11"/>
    <mergeCell ref="BJ5:BL5"/>
    <mergeCell ref="I6:L7"/>
    <mergeCell ref="AO6:AP6"/>
    <mergeCell ref="AF8:AG8"/>
    <mergeCell ref="I9:J9"/>
    <mergeCell ref="AT9:AV10"/>
    <mergeCell ref="I10:J10"/>
    <mergeCell ref="V10:X10"/>
    <mergeCell ref="AA10:AB10"/>
    <mergeCell ref="A2:B3"/>
    <mergeCell ref="V2:V3"/>
    <mergeCell ref="F3:G3"/>
    <mergeCell ref="Z3:AA3"/>
    <mergeCell ref="A4:B4"/>
    <mergeCell ref="F4:G4"/>
    <mergeCell ref="K4:L4"/>
    <mergeCell ref="Z4:AA4"/>
    <mergeCell ref="AR4:AS4"/>
  </mergeCells>
  <phoneticPr fontId="3" type="noConversion"/>
  <conditionalFormatting sqref="BC17:BD17">
    <cfRule type="expression" dxfId="28" priority="15" stopIfTrue="1">
      <formula>$BL$14&lt;&gt;0</formula>
    </cfRule>
  </conditionalFormatting>
  <conditionalFormatting sqref="BC14:BE14">
    <cfRule type="expression" dxfId="27" priority="16" stopIfTrue="1">
      <formula>$BL$14&lt;&gt;0</formula>
    </cfRule>
  </conditionalFormatting>
  <conditionalFormatting sqref="BC15:BE15">
    <cfRule type="expression" dxfId="26" priority="13" stopIfTrue="1">
      <formula>$BL$15&lt;&gt;0</formula>
    </cfRule>
  </conditionalFormatting>
  <conditionalFormatting sqref="BE6">
    <cfRule type="expression" dxfId="25" priority="29" stopIfTrue="1">
      <formula>$BK$6&lt;&gt;0</formula>
    </cfRule>
  </conditionalFormatting>
  <conditionalFormatting sqref="BE9">
    <cfRule type="expression" dxfId="24" priority="21" stopIfTrue="1">
      <formula>$BL$9&lt;&gt;0</formula>
    </cfRule>
  </conditionalFormatting>
  <conditionalFormatting sqref="BE28">
    <cfRule type="expression" dxfId="23" priority="20" stopIfTrue="1">
      <formula>$BL$28&lt;&gt;0</formula>
    </cfRule>
  </conditionalFormatting>
  <conditionalFormatting sqref="BE29">
    <cfRule type="expression" dxfId="22" priority="28" stopIfTrue="1">
      <formula>$BL$29&lt;&gt;0</formula>
    </cfRule>
  </conditionalFormatting>
  <conditionalFormatting sqref="BE32">
    <cfRule type="expression" dxfId="21" priority="27" stopIfTrue="1">
      <formula>$BL$32&lt;&gt;0</formula>
    </cfRule>
  </conditionalFormatting>
  <conditionalFormatting sqref="BE35">
    <cfRule type="expression" dxfId="20" priority="26" stopIfTrue="1">
      <formula>$BL$35&lt;&gt;0</formula>
    </cfRule>
  </conditionalFormatting>
  <conditionalFormatting sqref="BE36">
    <cfRule type="expression" dxfId="19" priority="10" stopIfTrue="1">
      <formula>$BL$36&lt;&gt;0</formula>
    </cfRule>
  </conditionalFormatting>
  <conditionalFormatting sqref="BE37">
    <cfRule type="expression" dxfId="18" priority="9" stopIfTrue="1">
      <formula>$BL$37&lt;&gt;0</formula>
    </cfRule>
  </conditionalFormatting>
  <conditionalFormatting sqref="BE38">
    <cfRule type="expression" dxfId="17" priority="25" stopIfTrue="1">
      <formula>$BL$38&lt;&gt;0</formula>
    </cfRule>
  </conditionalFormatting>
  <conditionalFormatting sqref="BE39">
    <cfRule type="expression" dxfId="16" priority="24" stopIfTrue="1">
      <formula>$BL$39&lt;&gt;0</formula>
    </cfRule>
  </conditionalFormatting>
  <conditionalFormatting sqref="BE41">
    <cfRule type="expression" dxfId="15" priority="19" stopIfTrue="1">
      <formula>$BL$41&lt;&gt;0</formula>
    </cfRule>
  </conditionalFormatting>
  <conditionalFormatting sqref="BE48">
    <cfRule type="expression" dxfId="14" priority="14" stopIfTrue="1">
      <formula>$BL$48&lt;&gt;0</formula>
    </cfRule>
  </conditionalFormatting>
  <conditionalFormatting sqref="BE51">
    <cfRule type="expression" dxfId="13" priority="18" stopIfTrue="1">
      <formula>$BL$51&lt;&gt;0</formula>
    </cfRule>
  </conditionalFormatting>
  <conditionalFormatting sqref="BE52">
    <cfRule type="expression" dxfId="12" priority="17" stopIfTrue="1">
      <formula>$BL$52&lt;&gt;0</formula>
    </cfRule>
  </conditionalFormatting>
  <conditionalFormatting sqref="BE54">
    <cfRule type="expression" dxfId="11" priority="23" stopIfTrue="1">
      <formula>$BL$54&lt;&gt;0</formula>
    </cfRule>
  </conditionalFormatting>
  <conditionalFormatting sqref="BE66">
    <cfRule type="expression" dxfId="10" priority="8" stopIfTrue="1">
      <formula>$BL$65&lt;&gt;0</formula>
    </cfRule>
  </conditionalFormatting>
  <conditionalFormatting sqref="BE69">
    <cfRule type="expression" dxfId="9" priority="22" stopIfTrue="1">
      <formula>$BL$68&lt;&gt;0</formula>
    </cfRule>
  </conditionalFormatting>
  <conditionalFormatting sqref="BG14">
    <cfRule type="expression" dxfId="8" priority="3" stopIfTrue="1">
      <formula>$BL$14&lt;&gt;0</formula>
    </cfRule>
  </conditionalFormatting>
  <conditionalFormatting sqref="BG15">
    <cfRule type="expression" dxfId="7" priority="1" stopIfTrue="1">
      <formula>$BL$15&lt;&gt;0</formula>
    </cfRule>
  </conditionalFormatting>
  <conditionalFormatting sqref="BG17">
    <cfRule type="expression" dxfId="6" priority="2" stopIfTrue="1">
      <formula>$BL$14&lt;&gt;0</formula>
    </cfRule>
  </conditionalFormatting>
  <conditionalFormatting sqref="BJ6:BL77">
    <cfRule type="cellIs" dxfId="5" priority="12" operator="notEqual">
      <formula>0</formula>
    </cfRule>
  </conditionalFormatting>
  <conditionalFormatting sqref="BJ80:BL96">
    <cfRule type="cellIs" dxfId="4" priority="7" operator="notEqual">
      <formula>0</formula>
    </cfRule>
  </conditionalFormatting>
  <conditionalFormatting sqref="BK78">
    <cfRule type="cellIs" dxfId="3" priority="11" operator="notEqual">
      <formula>0</formula>
    </cfRule>
  </conditionalFormatting>
  <conditionalFormatting sqref="CS14">
    <cfRule type="expression" dxfId="2" priority="6" stopIfTrue="1">
      <formula>$BL$14&lt;&gt;0</formula>
    </cfRule>
  </conditionalFormatting>
  <conditionalFormatting sqref="CS15">
    <cfRule type="expression" dxfId="1" priority="4" stopIfTrue="1">
      <formula>$BL$15&lt;&gt;0</formula>
    </cfRule>
  </conditionalFormatting>
  <conditionalFormatting sqref="CS17">
    <cfRule type="expression" dxfId="0" priority="5" stopIfTrue="1">
      <formula>$BL$14&lt;&gt;0</formula>
    </cfRule>
  </conditionalFormatting>
  <pageMargins left="0.7" right="0.7" top="0.75" bottom="0.75" header="0.3" footer="0.3"/>
  <pageSetup paperSize="9" scale="23" fitToHeight="0" orientation="landscape" r:id="rId1"/>
  <headerFooter>
    <oddHeader>&amp;RASE Public / Security-D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Security D</Templat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黃顗中</dc:creator>
  <cp:keywords>Security D</cp:keywords>
  <dc:description>Security D</dc:description>
  <cp:lastModifiedBy>黃顗中</cp:lastModifiedBy>
  <cp:lastPrinted>2026-07-29T01:12:19Z</cp:lastPrinted>
  <dcterms:created xsi:type="dcterms:W3CDTF">2015-06-05T18:19:34Z</dcterms:created>
  <dcterms:modified xsi:type="dcterms:W3CDTF">2026-08-13T09:25:45Z</dcterms:modified>
</cp:coreProperties>
</file>